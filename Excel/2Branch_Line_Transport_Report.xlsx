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KN GW\Desktop\Transport_V2\code\"/>
    </mc:Choice>
  </mc:AlternateContent>
  <xr:revisionPtr revIDLastSave="0" documentId="13_ncr:1_{171AF97E-CB79-490D-985C-37FC7F22358D}" xr6:coauthVersionLast="47" xr6:coauthVersionMax="47" xr10:uidLastSave="{00000000-0000-0000-0000-000000000000}"/>
  <bookViews>
    <workbookView xWindow="-120" yWindow="-120" windowWidth="29040" windowHeight="15840" tabRatio="886" xr2:uid="{00000000-000D-0000-FFFF-FFFF00000000}"/>
  </bookViews>
  <sheets>
    <sheet name="หน้าสูตร干线到车 รถถึงสายรอง  KKN" sheetId="19" r:id="rId1"/>
    <sheet name="DATA รถถึงเส้นรอง KKN" sheetId="21" r:id="rId2"/>
    <sheet name="วิธีการดึง" sheetId="20" r:id="rId3"/>
  </sheets>
  <definedNames>
    <definedName name="_xlnm._FilterDatabase" localSheetId="0" hidden="1">'หน้าสูตร干线到车 รถถึงสายรอง  KKN'!$B$2:$T$240</definedName>
    <definedName name="ข้อมูลภายนอก_1" localSheetId="1" hidden="1">'DATA รถถึงเส้นรอง KKN'!$A$1:$BA$2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8" i="19" l="1"/>
  <c r="C158" i="19" s="1"/>
  <c r="D159" i="19"/>
  <c r="D160" i="19"/>
  <c r="D161" i="19"/>
  <c r="D162" i="19"/>
  <c r="D163" i="19"/>
  <c r="D164" i="19"/>
  <c r="D165" i="19"/>
  <c r="D166" i="19"/>
  <c r="D167" i="19"/>
  <c r="C167" i="19" s="1"/>
  <c r="D168" i="19"/>
  <c r="C168" i="19" s="1"/>
  <c r="D169" i="19"/>
  <c r="C169" i="19" s="1"/>
  <c r="D170" i="19"/>
  <c r="C170" i="19" s="1"/>
  <c r="D171" i="19"/>
  <c r="C171" i="19" s="1"/>
  <c r="D172" i="19"/>
  <c r="D173" i="19"/>
  <c r="C173" i="19" s="1"/>
  <c r="D174" i="19"/>
  <c r="C174" i="19" s="1"/>
  <c r="D175" i="19"/>
  <c r="C175" i="19" s="1"/>
  <c r="D176" i="19"/>
  <c r="C176" i="19" s="1"/>
  <c r="D177" i="19"/>
  <c r="C177" i="19" s="1"/>
  <c r="D178" i="19"/>
  <c r="C178" i="19" s="1"/>
  <c r="D179" i="19"/>
  <c r="C179" i="19" s="1"/>
  <c r="E158" i="19" a="1"/>
  <c r="E158" i="19"/>
  <c r="J158" i="19" s="1"/>
  <c r="E159" i="19" a="1"/>
  <c r="E159" i="19" s="1"/>
  <c r="E160" i="19" a="1"/>
  <c r="E160" i="19"/>
  <c r="K160" i="19" s="1"/>
  <c r="E161" i="19" a="1"/>
  <c r="E161" i="19"/>
  <c r="P161" i="19" s="1"/>
  <c r="E162" i="19" a="1"/>
  <c r="E162" i="19" s="1"/>
  <c r="E163" i="19" a="1"/>
  <c r="E163" i="19"/>
  <c r="E164" i="19" a="1"/>
  <c r="E164" i="19"/>
  <c r="N164" i="19" s="1"/>
  <c r="E165" i="19" a="1"/>
  <c r="E165" i="19" s="1"/>
  <c r="E166" i="19" a="1"/>
  <c r="E166" i="19"/>
  <c r="M166" i="19" s="1"/>
  <c r="E167" i="19" a="1"/>
  <c r="E167" i="19"/>
  <c r="E168" i="19" a="1"/>
  <c r="E168" i="19" s="1"/>
  <c r="E169" i="19" a="1"/>
  <c r="E169" i="19"/>
  <c r="E170" i="19" a="1"/>
  <c r="E170" i="19"/>
  <c r="J170" i="19" s="1"/>
  <c r="E171" i="19" a="1"/>
  <c r="E171" i="19" s="1"/>
  <c r="E172" i="19" a="1"/>
  <c r="E172" i="19"/>
  <c r="K172" i="19" s="1"/>
  <c r="E173" i="19" a="1"/>
  <c r="E173" i="19"/>
  <c r="P173" i="19" s="1"/>
  <c r="E174" i="19" a="1"/>
  <c r="E174" i="19" s="1"/>
  <c r="E175" i="19" a="1"/>
  <c r="E175" i="19"/>
  <c r="E176" i="19" a="1"/>
  <c r="E176" i="19"/>
  <c r="N176" i="19" s="1"/>
  <c r="E177" i="19" a="1"/>
  <c r="E177" i="19" s="1"/>
  <c r="E178" i="19" a="1"/>
  <c r="E178" i="19"/>
  <c r="M178" i="19" s="1"/>
  <c r="E179" i="19" a="1"/>
  <c r="E179" i="19"/>
  <c r="P158" i="19"/>
  <c r="P163" i="19"/>
  <c r="P164" i="19"/>
  <c r="P167" i="19"/>
  <c r="P169" i="19"/>
  <c r="P170" i="19"/>
  <c r="P175" i="19"/>
  <c r="P176" i="19"/>
  <c r="P179" i="19"/>
  <c r="N160" i="19"/>
  <c r="N161" i="19"/>
  <c r="N163" i="19"/>
  <c r="N166" i="19"/>
  <c r="N167" i="19"/>
  <c r="N169" i="19"/>
  <c r="N172" i="19"/>
  <c r="N173" i="19"/>
  <c r="N175" i="19"/>
  <c r="N178" i="19"/>
  <c r="N179" i="19"/>
  <c r="M161" i="19"/>
  <c r="M163" i="19"/>
  <c r="M167" i="19"/>
  <c r="M169" i="19"/>
  <c r="M173" i="19"/>
  <c r="M175" i="19"/>
  <c r="M179" i="19"/>
  <c r="K158" i="19"/>
  <c r="K161" i="19"/>
  <c r="K163" i="19"/>
  <c r="K164" i="19"/>
  <c r="K167" i="19"/>
  <c r="K169" i="19"/>
  <c r="K170" i="19"/>
  <c r="K173" i="19"/>
  <c r="K175" i="19"/>
  <c r="K176" i="19"/>
  <c r="K179" i="19"/>
  <c r="J160" i="19"/>
  <c r="J161" i="19"/>
  <c r="J163" i="19"/>
  <c r="J166" i="19"/>
  <c r="J167" i="19"/>
  <c r="J169" i="19"/>
  <c r="J172" i="19"/>
  <c r="J173" i="19"/>
  <c r="J175" i="19"/>
  <c r="J178" i="19"/>
  <c r="J179" i="19"/>
  <c r="E6" i="19" a="1"/>
  <c r="E6" i="19" s="1"/>
  <c r="J6" i="19" s="1"/>
  <c r="E7" i="19" a="1"/>
  <c r="E7" i="19" s="1"/>
  <c r="M7" i="19" s="1"/>
  <c r="E8" i="19" a="1"/>
  <c r="E8" i="19" s="1"/>
  <c r="M8" i="19" s="1"/>
  <c r="E9" i="19" a="1"/>
  <c r="E9" i="19" s="1"/>
  <c r="D9" i="19" s="1"/>
  <c r="E10" i="19" a="1"/>
  <c r="E10" i="19" s="1"/>
  <c r="E11" i="19" a="1"/>
  <c r="E11" i="19" s="1"/>
  <c r="E12" i="19" a="1"/>
  <c r="E12" i="19" s="1"/>
  <c r="K12" i="19" s="1"/>
  <c r="E13" i="19" a="1"/>
  <c r="E13" i="19" s="1"/>
  <c r="N13" i="19" s="1"/>
  <c r="E14" i="19" a="1"/>
  <c r="E14" i="19" s="1"/>
  <c r="D14" i="19" s="1"/>
  <c r="E15" i="19" a="1"/>
  <c r="E15" i="19" s="1"/>
  <c r="E16" i="19" a="1"/>
  <c r="E16" i="19" s="1"/>
  <c r="E17" i="19" a="1"/>
  <c r="E17" i="19" s="1"/>
  <c r="J17" i="19" s="1"/>
  <c r="E18" i="19" a="1"/>
  <c r="E18" i="19" s="1"/>
  <c r="P18" i="19" s="1"/>
  <c r="E19" i="19" a="1"/>
  <c r="E19" i="19" s="1"/>
  <c r="P19" i="19" s="1"/>
  <c r="E20" i="19" a="1"/>
  <c r="E20" i="19" s="1"/>
  <c r="M20" i="19" s="1"/>
  <c r="E21" i="19" a="1"/>
  <c r="E21" i="19" s="1"/>
  <c r="J21" i="19" s="1"/>
  <c r="E22" i="19" a="1"/>
  <c r="E22" i="19" s="1"/>
  <c r="P22" i="19" s="1"/>
  <c r="E23" i="19" a="1"/>
  <c r="E23" i="19" s="1"/>
  <c r="P23" i="19" s="1"/>
  <c r="E24" i="19" a="1"/>
  <c r="E24" i="19" s="1"/>
  <c r="K24" i="19" s="1"/>
  <c r="E25" i="19" a="1"/>
  <c r="E25" i="19" s="1"/>
  <c r="E26" i="19" a="1"/>
  <c r="E26" i="19" s="1"/>
  <c r="E27" i="19" a="1"/>
  <c r="E27" i="19" s="1"/>
  <c r="J27" i="19" s="1"/>
  <c r="E28" i="19" a="1"/>
  <c r="E28" i="19" s="1"/>
  <c r="D28" i="19" s="1"/>
  <c r="E29" i="19" a="1"/>
  <c r="E29" i="19" s="1"/>
  <c r="E30" i="19" a="1"/>
  <c r="E30" i="19" s="1"/>
  <c r="P30" i="19" s="1"/>
  <c r="E31" i="19" a="1"/>
  <c r="E31" i="19" s="1"/>
  <c r="P31" i="19" s="1"/>
  <c r="E32" i="19" a="1"/>
  <c r="E32" i="19" s="1"/>
  <c r="P32" i="19" s="1"/>
  <c r="E33" i="19" a="1"/>
  <c r="E33" i="19" s="1"/>
  <c r="J33" i="19" s="1"/>
  <c r="E34" i="19" a="1"/>
  <c r="E34" i="19" s="1"/>
  <c r="J34" i="19" s="1"/>
  <c r="E35" i="19" a="1"/>
  <c r="E35" i="19" s="1"/>
  <c r="N35" i="19" s="1"/>
  <c r="E36" i="19" a="1"/>
  <c r="E36" i="19" s="1"/>
  <c r="E37" i="19" a="1"/>
  <c r="E37" i="19" s="1"/>
  <c r="K37" i="19" s="1"/>
  <c r="E38" i="19" a="1"/>
  <c r="E38" i="19" s="1"/>
  <c r="M38" i="19" s="1"/>
  <c r="E39" i="19" a="1"/>
  <c r="E39" i="19" s="1"/>
  <c r="J39" i="19" s="1"/>
  <c r="E40" i="19" a="1"/>
  <c r="E40" i="19" s="1"/>
  <c r="M40" i="19" s="1"/>
  <c r="E41" i="19" a="1"/>
  <c r="E41" i="19" s="1"/>
  <c r="M41" i="19" s="1"/>
  <c r="E42" i="19" a="1"/>
  <c r="E42" i="19" s="1"/>
  <c r="E43" i="19" a="1"/>
  <c r="E43" i="19" s="1"/>
  <c r="P43" i="19" s="1"/>
  <c r="E44" i="19" a="1"/>
  <c r="E44" i="19" s="1"/>
  <c r="E45" i="19" a="1"/>
  <c r="E45" i="19" s="1"/>
  <c r="E46" i="19" a="1"/>
  <c r="E46" i="19" s="1"/>
  <c r="P46" i="19" s="1"/>
  <c r="E47" i="19" a="1"/>
  <c r="E47" i="19" s="1"/>
  <c r="P47" i="19" s="1"/>
  <c r="E48" i="19" a="1"/>
  <c r="E48" i="19" s="1"/>
  <c r="M48" i="19" s="1"/>
  <c r="E49" i="19" a="1"/>
  <c r="E49" i="19" s="1"/>
  <c r="N49" i="19" s="1"/>
  <c r="E50" i="19" a="1"/>
  <c r="E50" i="19" s="1"/>
  <c r="J50" i="19" s="1"/>
  <c r="E51" i="19" a="1"/>
  <c r="E51" i="19" s="1"/>
  <c r="E52" i="19" a="1"/>
  <c r="E52" i="19" s="1"/>
  <c r="D52" i="19" s="1"/>
  <c r="E53" i="19" a="1"/>
  <c r="E53" i="19" s="1"/>
  <c r="D53" i="19" s="1"/>
  <c r="E54" i="19" a="1"/>
  <c r="E54" i="19" s="1"/>
  <c r="J54" i="19" s="1"/>
  <c r="E55" i="19" a="1"/>
  <c r="E55" i="19" s="1"/>
  <c r="E56" i="19" a="1"/>
  <c r="E56" i="19" s="1"/>
  <c r="E57" i="19" a="1"/>
  <c r="E57" i="19" s="1"/>
  <c r="E58" i="19" a="1"/>
  <c r="E58" i="19" s="1"/>
  <c r="D58" i="19" s="1"/>
  <c r="E59" i="19" a="1"/>
  <c r="E59" i="19" s="1"/>
  <c r="P59" i="19" s="1"/>
  <c r="E60" i="19" a="1"/>
  <c r="E60" i="19" s="1"/>
  <c r="P60" i="19" s="1"/>
  <c r="E61" i="19" a="1"/>
  <c r="E61" i="19" s="1"/>
  <c r="D61" i="19" s="1"/>
  <c r="E62" i="19" a="1"/>
  <c r="E62" i="19" s="1"/>
  <c r="J62" i="19" s="1"/>
  <c r="E63" i="19" a="1"/>
  <c r="E63" i="19" s="1"/>
  <c r="E64" i="19" a="1"/>
  <c r="E64" i="19" s="1"/>
  <c r="K64" i="19" s="1"/>
  <c r="E65" i="19" a="1"/>
  <c r="E65" i="19" s="1"/>
  <c r="J65" i="19" s="1"/>
  <c r="E66" i="19" a="1"/>
  <c r="E66" i="19" s="1"/>
  <c r="M66" i="19" s="1"/>
  <c r="E67" i="19" a="1"/>
  <c r="E67" i="19" s="1"/>
  <c r="J67" i="19" s="1"/>
  <c r="E68" i="19" a="1"/>
  <c r="E68" i="19" s="1"/>
  <c r="D68" i="19" s="1"/>
  <c r="E69" i="19" a="1"/>
  <c r="E69" i="19" s="1"/>
  <c r="D69" i="19" s="1"/>
  <c r="E70" i="19" a="1"/>
  <c r="E70" i="19" s="1"/>
  <c r="J70" i="19" s="1"/>
  <c r="E71" i="19" a="1"/>
  <c r="E71" i="19" s="1"/>
  <c r="P71" i="19" s="1"/>
  <c r="E72" i="19" a="1"/>
  <c r="E72" i="19" s="1"/>
  <c r="P72" i="19" s="1"/>
  <c r="E73" i="19" a="1"/>
  <c r="E73" i="19" s="1"/>
  <c r="D73" i="19" s="1"/>
  <c r="E74" i="19" a="1"/>
  <c r="E74" i="19" s="1"/>
  <c r="D74" i="19" s="1"/>
  <c r="E75" i="19" a="1"/>
  <c r="E75" i="19" s="1"/>
  <c r="E76" i="19" a="1"/>
  <c r="E76" i="19" s="1"/>
  <c r="K76" i="19" s="1"/>
  <c r="E77" i="19" a="1"/>
  <c r="E77" i="19" s="1"/>
  <c r="E78" i="19" a="1"/>
  <c r="E78" i="19" s="1"/>
  <c r="K78" i="19" s="1"/>
  <c r="E79" i="19" a="1"/>
  <c r="E79" i="19" s="1"/>
  <c r="J79" i="19" s="1"/>
  <c r="E80" i="19" a="1"/>
  <c r="E80" i="19" s="1"/>
  <c r="M80" i="19" s="1"/>
  <c r="E81" i="19" a="1"/>
  <c r="E81" i="19" s="1"/>
  <c r="J81" i="19" s="1"/>
  <c r="E82" i="19" a="1"/>
  <c r="E82" i="19" s="1"/>
  <c r="E83" i="19" a="1"/>
  <c r="E83" i="19" s="1"/>
  <c r="P83" i="19" s="1"/>
  <c r="E84" i="19" a="1"/>
  <c r="E84" i="19" s="1"/>
  <c r="P84" i="19" s="1"/>
  <c r="E85" i="19" a="1"/>
  <c r="E85" i="19" s="1"/>
  <c r="K85" i="19" s="1"/>
  <c r="E86" i="19" a="1"/>
  <c r="E86" i="19" s="1"/>
  <c r="D86" i="19" s="1"/>
  <c r="E87" i="19" a="1"/>
  <c r="E87" i="19" s="1"/>
  <c r="D87" i="19" s="1"/>
  <c r="E88" i="19" a="1"/>
  <c r="E88" i="19" s="1"/>
  <c r="J88" i="19" s="1"/>
  <c r="E89" i="19" a="1"/>
  <c r="E89" i="19" s="1"/>
  <c r="K89" i="19" s="1"/>
  <c r="E90" i="19" a="1"/>
  <c r="E90" i="19" s="1"/>
  <c r="N90" i="19" s="1"/>
  <c r="E91" i="19" a="1"/>
  <c r="E91" i="19" s="1"/>
  <c r="E92" i="19" a="1"/>
  <c r="E92" i="19" s="1"/>
  <c r="P92" i="19" s="1"/>
  <c r="E93" i="19" a="1"/>
  <c r="E93" i="19" s="1"/>
  <c r="D93" i="19" s="1"/>
  <c r="E94" i="19" a="1"/>
  <c r="E94" i="19" s="1"/>
  <c r="D94" i="19" s="1"/>
  <c r="E95" i="19" a="1"/>
  <c r="E95" i="19" s="1"/>
  <c r="P95" i="19" s="1"/>
  <c r="Q95" i="19" s="1"/>
  <c r="E96" i="19" a="1"/>
  <c r="E96" i="19" s="1"/>
  <c r="P96" i="19" s="1"/>
  <c r="Q96" i="19" s="1"/>
  <c r="E97" i="19" a="1"/>
  <c r="E97" i="19" s="1"/>
  <c r="N97" i="19" s="1"/>
  <c r="E98" i="19" a="1"/>
  <c r="E98" i="19" s="1"/>
  <c r="J98" i="19" s="1"/>
  <c r="E99" i="19" a="1"/>
  <c r="E99" i="19" s="1"/>
  <c r="J99" i="19" s="1"/>
  <c r="E100" i="19" a="1"/>
  <c r="E100" i="19" s="1"/>
  <c r="M100" i="19" s="1"/>
  <c r="E101" i="19" a="1"/>
  <c r="E101" i="19" s="1"/>
  <c r="E102" i="19" a="1"/>
  <c r="E102" i="19" s="1"/>
  <c r="J102" i="19" s="1"/>
  <c r="E103" i="19" a="1"/>
  <c r="E103" i="19" s="1"/>
  <c r="J103" i="19" s="1"/>
  <c r="E104" i="19" a="1"/>
  <c r="E104" i="19" s="1"/>
  <c r="P104" i="19" s="1"/>
  <c r="E105" i="19" a="1"/>
  <c r="E105" i="19" s="1"/>
  <c r="P105" i="19" s="1"/>
  <c r="E106" i="19" a="1"/>
  <c r="E106" i="19" s="1"/>
  <c r="P106" i="19" s="1"/>
  <c r="E107" i="19" a="1"/>
  <c r="E107" i="19" s="1"/>
  <c r="P107" i="19" s="1"/>
  <c r="E108" i="19" a="1"/>
  <c r="E108" i="19" s="1"/>
  <c r="N108" i="19" s="1"/>
  <c r="E109" i="19" a="1"/>
  <c r="E109" i="19" s="1"/>
  <c r="K109" i="19" s="1"/>
  <c r="E110" i="19" a="1"/>
  <c r="E110" i="19" s="1"/>
  <c r="D110" i="19" s="1"/>
  <c r="E111" i="19" a="1"/>
  <c r="E111" i="19" s="1"/>
  <c r="D111" i="19" s="1"/>
  <c r="E112" i="19" a="1"/>
  <c r="E112" i="19" s="1"/>
  <c r="K112" i="19" s="1"/>
  <c r="E113" i="19" a="1"/>
  <c r="E113" i="19" s="1"/>
  <c r="D113" i="19" s="1"/>
  <c r="E114" i="19" a="1"/>
  <c r="E114" i="19" s="1"/>
  <c r="N114" i="19" s="1"/>
  <c r="E115" i="19" a="1"/>
  <c r="E115" i="19" s="1"/>
  <c r="J115" i="19" s="1"/>
  <c r="E116" i="19" a="1"/>
  <c r="E116" i="19" s="1"/>
  <c r="E117" i="19" a="1"/>
  <c r="E117" i="19" s="1"/>
  <c r="D117" i="19" s="1"/>
  <c r="E118" i="19" a="1"/>
  <c r="E118" i="19" s="1"/>
  <c r="P118" i="19" s="1"/>
  <c r="E119" i="19" a="1"/>
  <c r="E119" i="19" s="1"/>
  <c r="P119" i="19" s="1"/>
  <c r="E120" i="19" a="1"/>
  <c r="E120" i="19" s="1"/>
  <c r="P120" i="19" s="1"/>
  <c r="E121" i="19" a="1"/>
  <c r="E121" i="19" s="1"/>
  <c r="N121" i="19" s="1"/>
  <c r="E122" i="19" a="1"/>
  <c r="E122" i="19" s="1"/>
  <c r="D122" i="19" s="1"/>
  <c r="E123" i="19" a="1"/>
  <c r="E123" i="19" s="1"/>
  <c r="D123" i="19" s="1"/>
  <c r="E124" i="19" a="1"/>
  <c r="E124" i="19" s="1"/>
  <c r="M124" i="19" s="1"/>
  <c r="E125" i="19" a="1"/>
  <c r="E125" i="19" s="1"/>
  <c r="D125" i="19" s="1"/>
  <c r="E126" i="19" a="1"/>
  <c r="E126" i="19" s="1"/>
  <c r="K126" i="19" s="1"/>
  <c r="E127" i="19" a="1"/>
  <c r="E127" i="19" s="1"/>
  <c r="J127" i="19" s="1"/>
  <c r="E128" i="19" a="1"/>
  <c r="E128" i="19" s="1"/>
  <c r="M128" i="19" s="1"/>
  <c r="E129" i="19" a="1"/>
  <c r="E129" i="19" s="1"/>
  <c r="E130" i="19" a="1"/>
  <c r="E130" i="19" s="1"/>
  <c r="E131" i="19" a="1"/>
  <c r="E131" i="19" s="1"/>
  <c r="M131" i="19" s="1"/>
  <c r="E132" i="19" a="1"/>
  <c r="E132" i="19" s="1"/>
  <c r="P132" i="19" s="1"/>
  <c r="E133" i="19" a="1"/>
  <c r="E133" i="19" s="1"/>
  <c r="K133" i="19" s="1"/>
  <c r="E134" i="19" a="1"/>
  <c r="E134" i="19" s="1"/>
  <c r="N134" i="19" s="1"/>
  <c r="E135" i="19" a="1"/>
  <c r="E135" i="19" s="1"/>
  <c r="N135" i="19" s="1"/>
  <c r="E136" i="19" a="1"/>
  <c r="E136" i="19" s="1"/>
  <c r="J136" i="19" s="1"/>
  <c r="E137" i="19" a="1"/>
  <c r="E137" i="19" s="1"/>
  <c r="M137" i="19" s="1"/>
  <c r="E138" i="19" a="1"/>
  <c r="E138" i="19" s="1"/>
  <c r="N138" i="19" s="1"/>
  <c r="E139" i="19" a="1"/>
  <c r="E139" i="19" s="1"/>
  <c r="J139" i="19" s="1"/>
  <c r="E140" i="19" a="1"/>
  <c r="E140" i="19" s="1"/>
  <c r="M140" i="19" s="1"/>
  <c r="E141" i="19" a="1"/>
  <c r="E141" i="19" s="1"/>
  <c r="E142" i="19" a="1"/>
  <c r="E142" i="19" s="1"/>
  <c r="E143" i="19" a="1"/>
  <c r="E143" i="19" s="1"/>
  <c r="P143" i="19" s="1"/>
  <c r="E144" i="19" a="1"/>
  <c r="E144" i="19" s="1"/>
  <c r="P144" i="19" s="1"/>
  <c r="E145" i="19" a="1"/>
  <c r="E145" i="19" s="1"/>
  <c r="N145" i="19" s="1"/>
  <c r="E146" i="19" a="1"/>
  <c r="E146" i="19" s="1"/>
  <c r="E147" i="19" a="1"/>
  <c r="E147" i="19" s="1"/>
  <c r="J147" i="19" s="1"/>
  <c r="E148" i="19" a="1"/>
  <c r="E148" i="19" s="1"/>
  <c r="M148" i="19" s="1"/>
  <c r="E149" i="19" a="1"/>
  <c r="E149" i="19"/>
  <c r="E150" i="19" a="1"/>
  <c r="E150" i="19" s="1"/>
  <c r="N150" i="19" s="1"/>
  <c r="E151" i="19" a="1"/>
  <c r="E151" i="19" s="1"/>
  <c r="J151" i="19" s="1"/>
  <c r="E152" i="19" a="1"/>
  <c r="E152" i="19" s="1"/>
  <c r="M152" i="19" s="1"/>
  <c r="E153" i="19" a="1"/>
  <c r="E153" i="19" s="1"/>
  <c r="D153" i="19" s="1"/>
  <c r="E154" i="19" a="1"/>
  <c r="E154" i="19" s="1"/>
  <c r="D154" i="19" s="1"/>
  <c r="E155" i="19" a="1"/>
  <c r="E155" i="19" s="1"/>
  <c r="E156" i="19" a="1"/>
  <c r="E156" i="19" s="1"/>
  <c r="P156" i="19" s="1"/>
  <c r="E157" i="19" a="1"/>
  <c r="E157" i="19" s="1"/>
  <c r="K157" i="19" s="1"/>
  <c r="E5" i="19" a="1"/>
  <c r="E5" i="19" s="1"/>
  <c r="G158" i="19"/>
  <c r="G161" i="19"/>
  <c r="G163" i="19"/>
  <c r="G164" i="19"/>
  <c r="G167" i="19"/>
  <c r="G169" i="19"/>
  <c r="G170" i="19"/>
  <c r="G173" i="19"/>
  <c r="G175" i="19"/>
  <c r="G176" i="19"/>
  <c r="G179" i="19"/>
  <c r="F160" i="19"/>
  <c r="F161" i="19"/>
  <c r="F163" i="19"/>
  <c r="F166" i="19"/>
  <c r="F167" i="19"/>
  <c r="F169" i="19"/>
  <c r="F172" i="19"/>
  <c r="F173" i="19"/>
  <c r="F175" i="19"/>
  <c r="F178" i="19"/>
  <c r="F179" i="19"/>
  <c r="C159" i="19"/>
  <c r="C160" i="19"/>
  <c r="C161" i="19"/>
  <c r="C162" i="19"/>
  <c r="C163" i="19"/>
  <c r="C164" i="19"/>
  <c r="C165" i="19"/>
  <c r="C166" i="19"/>
  <c r="C172" i="19"/>
  <c r="J171" i="19" l="1"/>
  <c r="K171" i="19"/>
  <c r="M171" i="19"/>
  <c r="G171" i="19"/>
  <c r="N171" i="19"/>
  <c r="F171" i="19"/>
  <c r="P171" i="19"/>
  <c r="P162" i="19"/>
  <c r="G162" i="19"/>
  <c r="J162" i="19"/>
  <c r="K162" i="19"/>
  <c r="M162" i="19"/>
  <c r="N162" i="19"/>
  <c r="F162" i="19"/>
  <c r="F177" i="19"/>
  <c r="N177" i="19"/>
  <c r="P177" i="19"/>
  <c r="G177" i="19"/>
  <c r="J177" i="19"/>
  <c r="K177" i="19"/>
  <c r="M177" i="19"/>
  <c r="K168" i="19"/>
  <c r="M168" i="19"/>
  <c r="N168" i="19"/>
  <c r="F168" i="19"/>
  <c r="P168" i="19"/>
  <c r="G168" i="19"/>
  <c r="J168" i="19"/>
  <c r="P174" i="19"/>
  <c r="G174" i="19"/>
  <c r="J174" i="19"/>
  <c r="K174" i="19"/>
  <c r="M174" i="19"/>
  <c r="N174" i="19"/>
  <c r="F174" i="19"/>
  <c r="J159" i="19"/>
  <c r="K159" i="19"/>
  <c r="M159" i="19"/>
  <c r="G159" i="19"/>
  <c r="N159" i="19"/>
  <c r="F159" i="19"/>
  <c r="P159" i="19"/>
  <c r="F165" i="19"/>
  <c r="N165" i="19"/>
  <c r="P165" i="19"/>
  <c r="G165" i="19"/>
  <c r="J165" i="19"/>
  <c r="K165" i="19"/>
  <c r="M165" i="19"/>
  <c r="G172" i="19"/>
  <c r="G160" i="19"/>
  <c r="K178" i="19"/>
  <c r="K166" i="19"/>
  <c r="M176" i="19"/>
  <c r="M164" i="19"/>
  <c r="P172" i="19"/>
  <c r="P160" i="19"/>
  <c r="F170" i="19"/>
  <c r="F158" i="19"/>
  <c r="J176" i="19"/>
  <c r="J164" i="19"/>
  <c r="M172" i="19"/>
  <c r="M160" i="19"/>
  <c r="N170" i="19"/>
  <c r="N158" i="19"/>
  <c r="G178" i="19"/>
  <c r="G166" i="19"/>
  <c r="M170" i="19"/>
  <c r="M158" i="19"/>
  <c r="P178" i="19"/>
  <c r="P166" i="19"/>
  <c r="F176" i="19"/>
  <c r="F164" i="19"/>
  <c r="D32" i="19"/>
  <c r="J72" i="19"/>
  <c r="D31" i="19"/>
  <c r="C31" i="19" s="1"/>
  <c r="J71" i="19"/>
  <c r="K84" i="19"/>
  <c r="J48" i="19"/>
  <c r="D37" i="19"/>
  <c r="C37" i="19" s="1"/>
  <c r="K31" i="19"/>
  <c r="M47" i="19"/>
  <c r="K21" i="19"/>
  <c r="D145" i="19"/>
  <c r="C145" i="19" s="1"/>
  <c r="D144" i="19"/>
  <c r="C144" i="19" s="1"/>
  <c r="D60" i="19"/>
  <c r="D47" i="19"/>
  <c r="M77" i="19"/>
  <c r="K77" i="19"/>
  <c r="K57" i="19"/>
  <c r="J57" i="19"/>
  <c r="D138" i="19"/>
  <c r="D46" i="19"/>
  <c r="C46" i="19" s="1"/>
  <c r="J60" i="19"/>
  <c r="K47" i="19"/>
  <c r="J46" i="19"/>
  <c r="D133" i="19"/>
  <c r="C133" i="19" s="1"/>
  <c r="D109" i="19"/>
  <c r="C109" i="19" s="1"/>
  <c r="D17" i="19"/>
  <c r="C17" i="19" s="1"/>
  <c r="J153" i="19"/>
  <c r="J22" i="19"/>
  <c r="K13" i="19"/>
  <c r="K46" i="19"/>
  <c r="D107" i="19"/>
  <c r="C107" i="19" s="1"/>
  <c r="D8" i="19"/>
  <c r="C8" i="19" s="1"/>
  <c r="J135" i="19"/>
  <c r="M86" i="19"/>
  <c r="D97" i="19"/>
  <c r="C97" i="19" s="1"/>
  <c r="J134" i="19"/>
  <c r="J9" i="19"/>
  <c r="K143" i="19"/>
  <c r="D96" i="19"/>
  <c r="J118" i="19"/>
  <c r="K119" i="19"/>
  <c r="M31" i="19"/>
  <c r="N99" i="19"/>
  <c r="P117" i="19"/>
  <c r="D85" i="19"/>
  <c r="C85" i="19" s="1"/>
  <c r="J117" i="19"/>
  <c r="M17" i="19"/>
  <c r="N84" i="19"/>
  <c r="D84" i="19"/>
  <c r="C84" i="19" s="1"/>
  <c r="J84" i="19"/>
  <c r="K95" i="19"/>
  <c r="D56" i="19"/>
  <c r="C56" i="19" s="1"/>
  <c r="P56" i="19"/>
  <c r="M56" i="19"/>
  <c r="D142" i="19"/>
  <c r="C142" i="19" s="1"/>
  <c r="P142" i="19"/>
  <c r="J142" i="19"/>
  <c r="K142" i="19"/>
  <c r="J75" i="19"/>
  <c r="N75" i="19"/>
  <c r="P155" i="19"/>
  <c r="Q155" i="19" s="1"/>
  <c r="M155" i="19"/>
  <c r="N155" i="19"/>
  <c r="K155" i="19"/>
  <c r="K61" i="19"/>
  <c r="K7" i="19"/>
  <c r="N83" i="19"/>
  <c r="P103" i="19"/>
  <c r="D135" i="19"/>
  <c r="C135" i="19" s="1"/>
  <c r="D105" i="19"/>
  <c r="C105" i="19" s="1"/>
  <c r="D79" i="19"/>
  <c r="C79" i="19" s="1"/>
  <c r="D33" i="19"/>
  <c r="C33" i="19" s="1"/>
  <c r="J125" i="19"/>
  <c r="J87" i="19"/>
  <c r="J53" i="19"/>
  <c r="K156" i="19"/>
  <c r="K107" i="19"/>
  <c r="K60" i="19"/>
  <c r="M76" i="19"/>
  <c r="M19" i="19"/>
  <c r="N79" i="19"/>
  <c r="P66" i="19"/>
  <c r="J93" i="19"/>
  <c r="D83" i="19"/>
  <c r="C83" i="19" s="1"/>
  <c r="J132" i="19"/>
  <c r="D134" i="19"/>
  <c r="C134" i="19" s="1"/>
  <c r="D103" i="19"/>
  <c r="J124" i="19"/>
  <c r="J86" i="19"/>
  <c r="J52" i="19"/>
  <c r="K103" i="19"/>
  <c r="K59" i="19"/>
  <c r="M65" i="19"/>
  <c r="M18" i="19"/>
  <c r="P58" i="19"/>
  <c r="D99" i="19"/>
  <c r="C99" i="19" s="1"/>
  <c r="J120" i="19"/>
  <c r="K151" i="19"/>
  <c r="K58" i="19"/>
  <c r="M127" i="19"/>
  <c r="M59" i="19"/>
  <c r="N156" i="19"/>
  <c r="N60" i="19"/>
  <c r="P57" i="19"/>
  <c r="M83" i="19"/>
  <c r="M23" i="19"/>
  <c r="D132" i="19"/>
  <c r="C132" i="19" s="1"/>
  <c r="D98" i="19"/>
  <c r="C98" i="19" s="1"/>
  <c r="D65" i="19"/>
  <c r="C65" i="19" s="1"/>
  <c r="D19" i="19"/>
  <c r="C19" i="19" s="1"/>
  <c r="J119" i="19"/>
  <c r="J83" i="19"/>
  <c r="K94" i="19"/>
  <c r="M119" i="19"/>
  <c r="N59" i="19"/>
  <c r="D127" i="19"/>
  <c r="C127" i="19" s="1"/>
  <c r="J40" i="19"/>
  <c r="K93" i="19"/>
  <c r="M113" i="19"/>
  <c r="M50" i="19"/>
  <c r="N151" i="19"/>
  <c r="N39" i="19"/>
  <c r="P115" i="19"/>
  <c r="K132" i="19"/>
  <c r="M107" i="19"/>
  <c r="N132" i="19"/>
  <c r="P151" i="19"/>
  <c r="P33" i="19"/>
  <c r="J94" i="19"/>
  <c r="D151" i="19"/>
  <c r="C151" i="19" s="1"/>
  <c r="D115" i="19"/>
  <c r="C115" i="19" s="1"/>
  <c r="D59" i="19"/>
  <c r="C59" i="19" s="1"/>
  <c r="D7" i="19"/>
  <c r="C7" i="19" s="1"/>
  <c r="J150" i="19"/>
  <c r="J114" i="19"/>
  <c r="J38" i="19"/>
  <c r="K127" i="19"/>
  <c r="K83" i="19"/>
  <c r="K30" i="19"/>
  <c r="M103" i="19"/>
  <c r="N127" i="19"/>
  <c r="N27" i="19"/>
  <c r="P150" i="19"/>
  <c r="D150" i="19"/>
  <c r="C150" i="19" s="1"/>
  <c r="D114" i="19"/>
  <c r="C114" i="19" s="1"/>
  <c r="J105" i="19"/>
  <c r="J69" i="19"/>
  <c r="J24" i="19"/>
  <c r="K125" i="19"/>
  <c r="K79" i="19"/>
  <c r="K28" i="19"/>
  <c r="M95" i="19"/>
  <c r="N107" i="19"/>
  <c r="D147" i="19"/>
  <c r="C147" i="19" s="1"/>
  <c r="J66" i="19"/>
  <c r="J23" i="19"/>
  <c r="K124" i="19"/>
  <c r="M92" i="19"/>
  <c r="N103" i="19"/>
  <c r="P7" i="19"/>
  <c r="M141" i="19"/>
  <c r="N141" i="19"/>
  <c r="J141" i="19"/>
  <c r="K141" i="19"/>
  <c r="D141" i="19"/>
  <c r="C141" i="19" s="1"/>
  <c r="P141" i="19"/>
  <c r="N149" i="19"/>
  <c r="P149" i="19"/>
  <c r="D149" i="19"/>
  <c r="C149" i="19" s="1"/>
  <c r="K149" i="19"/>
  <c r="J149" i="19"/>
  <c r="M130" i="19"/>
  <c r="N130" i="19"/>
  <c r="K130" i="19"/>
  <c r="P130" i="19"/>
  <c r="J130" i="19"/>
  <c r="D130" i="19"/>
  <c r="C130" i="19" s="1"/>
  <c r="P5" i="19"/>
  <c r="J5" i="19"/>
  <c r="M5" i="19"/>
  <c r="K5" i="19"/>
  <c r="M149" i="19"/>
  <c r="D5" i="19"/>
  <c r="C5" i="19" s="1"/>
  <c r="K26" i="19"/>
  <c r="P26" i="19"/>
  <c r="J26" i="19"/>
  <c r="M26" i="19"/>
  <c r="D26" i="19"/>
  <c r="C26" i="19" s="1"/>
  <c r="N26" i="19"/>
  <c r="N16" i="19"/>
  <c r="P16" i="19"/>
  <c r="J16" i="19"/>
  <c r="D16" i="19"/>
  <c r="C16" i="19" s="1"/>
  <c r="M16" i="19"/>
  <c r="J116" i="19"/>
  <c r="N116" i="19"/>
  <c r="K116" i="19"/>
  <c r="M116" i="19"/>
  <c r="P116" i="19"/>
  <c r="D116" i="19"/>
  <c r="C116" i="19" s="1"/>
  <c r="D36" i="19"/>
  <c r="C36" i="19" s="1"/>
  <c r="P36" i="19"/>
  <c r="N36" i="19"/>
  <c r="K36" i="19"/>
  <c r="J36" i="19"/>
  <c r="M36" i="19"/>
  <c r="P25" i="19"/>
  <c r="M25" i="19"/>
  <c r="J25" i="19"/>
  <c r="D25" i="19"/>
  <c r="C25" i="19" s="1"/>
  <c r="K25" i="19"/>
  <c r="N25" i="19"/>
  <c r="K15" i="19"/>
  <c r="P15" i="19"/>
  <c r="M15" i="19"/>
  <c r="D15" i="19"/>
  <c r="C15" i="19" s="1"/>
  <c r="J15" i="19"/>
  <c r="N15" i="19"/>
  <c r="K146" i="19"/>
  <c r="P146" i="19"/>
  <c r="M146" i="19"/>
  <c r="J146" i="19"/>
  <c r="N146" i="19"/>
  <c r="P35" i="19"/>
  <c r="D35" i="19"/>
  <c r="C35" i="19" s="1"/>
  <c r="K35" i="19"/>
  <c r="J35" i="19"/>
  <c r="M35" i="19"/>
  <c r="P131" i="19"/>
  <c r="K131" i="19"/>
  <c r="J131" i="19"/>
  <c r="D131" i="19"/>
  <c r="C131" i="19" s="1"/>
  <c r="N6" i="19"/>
  <c r="D6" i="19"/>
  <c r="C6" i="19" s="1"/>
  <c r="M6" i="19"/>
  <c r="K6" i="19"/>
  <c r="P6" i="19"/>
  <c r="J55" i="19"/>
  <c r="M55" i="19"/>
  <c r="K55" i="19"/>
  <c r="D55" i="19"/>
  <c r="C55" i="19" s="1"/>
  <c r="N55" i="19"/>
  <c r="P55" i="19"/>
  <c r="J44" i="19"/>
  <c r="N44" i="19"/>
  <c r="K44" i="19"/>
  <c r="M44" i="19"/>
  <c r="P44" i="19"/>
  <c r="D44" i="19"/>
  <c r="C44" i="19" s="1"/>
  <c r="P73" i="19"/>
  <c r="M73" i="19"/>
  <c r="J73" i="19"/>
  <c r="N73" i="19"/>
  <c r="K73" i="19"/>
  <c r="N54" i="19"/>
  <c r="D54" i="19"/>
  <c r="C54" i="19" s="1"/>
  <c r="K54" i="19"/>
  <c r="P54" i="19"/>
  <c r="M54" i="19"/>
  <c r="N112" i="19"/>
  <c r="P112" i="19"/>
  <c r="D112" i="19"/>
  <c r="C112" i="19" s="1"/>
  <c r="J112" i="19"/>
  <c r="N101" i="19"/>
  <c r="P101" i="19"/>
  <c r="D101" i="19"/>
  <c r="C101" i="19" s="1"/>
  <c r="K101" i="19"/>
  <c r="M101" i="19"/>
  <c r="J101" i="19"/>
  <c r="J91" i="19"/>
  <c r="N91" i="19"/>
  <c r="D91" i="19"/>
  <c r="C91" i="19" s="1"/>
  <c r="M91" i="19"/>
  <c r="P91" i="19"/>
  <c r="K91" i="19"/>
  <c r="P11" i="19"/>
  <c r="N11" i="19"/>
  <c r="J11" i="19"/>
  <c r="M11" i="19"/>
  <c r="D11" i="19"/>
  <c r="C11" i="19" s="1"/>
  <c r="K11" i="19"/>
  <c r="D146" i="19"/>
  <c r="C146" i="19" s="1"/>
  <c r="J92" i="19"/>
  <c r="N92" i="19"/>
  <c r="K92" i="19"/>
  <c r="D92" i="19"/>
  <c r="C92" i="19" s="1"/>
  <c r="K111" i="19"/>
  <c r="P111" i="19"/>
  <c r="M111" i="19"/>
  <c r="N111" i="19"/>
  <c r="J111" i="19"/>
  <c r="M10" i="19"/>
  <c r="N10" i="19"/>
  <c r="J10" i="19"/>
  <c r="P10" i="19"/>
  <c r="D10" i="19"/>
  <c r="C10" i="19" s="1"/>
  <c r="K10" i="19"/>
  <c r="M112" i="19"/>
  <c r="N5" i="19"/>
  <c r="K51" i="19"/>
  <c r="P51" i="19"/>
  <c r="M51" i="19"/>
  <c r="D51" i="19"/>
  <c r="C51" i="19" s="1"/>
  <c r="J51" i="19"/>
  <c r="N51" i="19"/>
  <c r="N29" i="19"/>
  <c r="P29" i="19"/>
  <c r="J29" i="19"/>
  <c r="D29" i="19"/>
  <c r="C29" i="19" s="1"/>
  <c r="M29" i="19"/>
  <c r="K29" i="19"/>
  <c r="N131" i="19"/>
  <c r="P108" i="19"/>
  <c r="Q108" i="19" s="1"/>
  <c r="J108" i="19"/>
  <c r="D108" i="19"/>
  <c r="C108" i="19" s="1"/>
  <c r="K108" i="19"/>
  <c r="M108" i="19"/>
  <c r="M45" i="19"/>
  <c r="N45" i="19"/>
  <c r="J45" i="19"/>
  <c r="P45" i="19"/>
  <c r="K45" i="19"/>
  <c r="D45" i="19"/>
  <c r="C45" i="19" s="1"/>
  <c r="N126" i="19"/>
  <c r="P126" i="19"/>
  <c r="D126" i="19"/>
  <c r="C126" i="19" s="1"/>
  <c r="J126" i="19"/>
  <c r="M126" i="19"/>
  <c r="K74" i="19"/>
  <c r="P74" i="19"/>
  <c r="J74" i="19"/>
  <c r="M74" i="19"/>
  <c r="N74" i="19"/>
  <c r="N64" i="19"/>
  <c r="P64" i="19"/>
  <c r="D64" i="19"/>
  <c r="C64" i="19" s="1"/>
  <c r="M64" i="19"/>
  <c r="J64" i="19"/>
  <c r="N102" i="19"/>
  <c r="D102" i="19"/>
  <c r="C102" i="19" s="1"/>
  <c r="P102" i="19"/>
  <c r="M102" i="19"/>
  <c r="K102" i="19"/>
  <c r="M82" i="19"/>
  <c r="N82" i="19"/>
  <c r="K82" i="19"/>
  <c r="J82" i="19"/>
  <c r="D82" i="19"/>
  <c r="C82" i="19" s="1"/>
  <c r="P82" i="19"/>
  <c r="K123" i="19"/>
  <c r="P123" i="19"/>
  <c r="M123" i="19"/>
  <c r="J123" i="19"/>
  <c r="N123" i="19"/>
  <c r="K122" i="19"/>
  <c r="P122" i="19"/>
  <c r="J122" i="19"/>
  <c r="M122" i="19"/>
  <c r="N122" i="19"/>
  <c r="K16" i="19"/>
  <c r="P109" i="19"/>
  <c r="M109" i="19"/>
  <c r="J109" i="19"/>
  <c r="N88" i="19"/>
  <c r="P88" i="19"/>
  <c r="D95" i="19"/>
  <c r="C95" i="19" s="1"/>
  <c r="K154" i="19"/>
  <c r="K138" i="19"/>
  <c r="K121" i="19"/>
  <c r="K106" i="19"/>
  <c r="K90" i="19"/>
  <c r="M89" i="19"/>
  <c r="M71" i="19"/>
  <c r="M53" i="19"/>
  <c r="N98" i="19"/>
  <c r="N50" i="19"/>
  <c r="N24" i="19"/>
  <c r="P140" i="19"/>
  <c r="P114" i="19"/>
  <c r="P81" i="19"/>
  <c r="K139" i="19"/>
  <c r="K43" i="19"/>
  <c r="M144" i="19"/>
  <c r="M90" i="19"/>
  <c r="M72" i="19"/>
  <c r="N147" i="19"/>
  <c r="J128" i="19"/>
  <c r="N128" i="19"/>
  <c r="K128" i="19"/>
  <c r="M70" i="19"/>
  <c r="N70" i="19"/>
  <c r="P61" i="19"/>
  <c r="M61" i="19"/>
  <c r="J61" i="19"/>
  <c r="N52" i="19"/>
  <c r="P52" i="19"/>
  <c r="N42" i="19"/>
  <c r="D42" i="19"/>
  <c r="C42" i="19" s="1"/>
  <c r="J32" i="19"/>
  <c r="N32" i="19"/>
  <c r="K32" i="19"/>
  <c r="M22" i="19"/>
  <c r="N22" i="19"/>
  <c r="D12" i="19"/>
  <c r="C12" i="19" s="1"/>
  <c r="P12" i="19"/>
  <c r="D155" i="19"/>
  <c r="C155" i="19" s="1"/>
  <c r="D143" i="19"/>
  <c r="C143" i="19" s="1"/>
  <c r="D119" i="19"/>
  <c r="C119" i="19" s="1"/>
  <c r="D70" i="19"/>
  <c r="C70" i="19" s="1"/>
  <c r="D57" i="19"/>
  <c r="C57" i="19" s="1"/>
  <c r="D43" i="19"/>
  <c r="C43" i="19" s="1"/>
  <c r="J18" i="19"/>
  <c r="K42" i="19"/>
  <c r="M143" i="19"/>
  <c r="M125" i="19"/>
  <c r="N137" i="19"/>
  <c r="P137" i="19"/>
  <c r="M118" i="19"/>
  <c r="N118" i="19"/>
  <c r="K99" i="19"/>
  <c r="P99" i="19"/>
  <c r="M99" i="19"/>
  <c r="N78" i="19"/>
  <c r="D78" i="19"/>
  <c r="C78" i="19" s="1"/>
  <c r="N41" i="19"/>
  <c r="P41" i="19"/>
  <c r="J31" i="19"/>
  <c r="N31" i="19"/>
  <c r="M21" i="19"/>
  <c r="N21" i="19"/>
  <c r="D118" i="19"/>
  <c r="C118" i="19" s="1"/>
  <c r="D106" i="19"/>
  <c r="C106" i="19" s="1"/>
  <c r="D41" i="19"/>
  <c r="C41" i="19" s="1"/>
  <c r="D27" i="19"/>
  <c r="C27" i="19" s="1"/>
  <c r="J113" i="19"/>
  <c r="K153" i="19"/>
  <c r="K137" i="19"/>
  <c r="K120" i="19"/>
  <c r="K105" i="19"/>
  <c r="K72" i="19"/>
  <c r="K41" i="19"/>
  <c r="K9" i="19"/>
  <c r="M104" i="19"/>
  <c r="M88" i="19"/>
  <c r="M68" i="19"/>
  <c r="M52" i="19"/>
  <c r="M32" i="19"/>
  <c r="N23" i="19"/>
  <c r="P139" i="19"/>
  <c r="P80" i="19"/>
  <c r="P21" i="19"/>
  <c r="P157" i="19"/>
  <c r="Q157" i="19" s="1"/>
  <c r="M157" i="19"/>
  <c r="J157" i="19"/>
  <c r="N148" i="19"/>
  <c r="P148" i="19"/>
  <c r="J140" i="19"/>
  <c r="N140" i="19"/>
  <c r="K140" i="19"/>
  <c r="M129" i="19"/>
  <c r="N129" i="19"/>
  <c r="P121" i="19"/>
  <c r="M121" i="19"/>
  <c r="J121" i="19"/>
  <c r="K110" i="19"/>
  <c r="P110" i="19"/>
  <c r="K63" i="19"/>
  <c r="P63" i="19"/>
  <c r="M63" i="19"/>
  <c r="M34" i="19"/>
  <c r="N34" i="19"/>
  <c r="D24" i="19"/>
  <c r="C24" i="19" s="1"/>
  <c r="P24" i="19"/>
  <c r="K14" i="19"/>
  <c r="P14" i="19"/>
  <c r="D157" i="19"/>
  <c r="C157" i="19" s="1"/>
  <c r="D120" i="19"/>
  <c r="C120" i="19" s="1"/>
  <c r="J100" i="19"/>
  <c r="M154" i="19"/>
  <c r="N154" i="19"/>
  <c r="N136" i="19"/>
  <c r="P136" i="19"/>
  <c r="N40" i="19"/>
  <c r="P40" i="19"/>
  <c r="N30" i="19"/>
  <c r="D30" i="19"/>
  <c r="C30" i="19" s="1"/>
  <c r="J20" i="19"/>
  <c r="N20" i="19"/>
  <c r="K20" i="19"/>
  <c r="D129" i="19"/>
  <c r="C129" i="19" s="1"/>
  <c r="D81" i="19"/>
  <c r="C81" i="19" s="1"/>
  <c r="D40" i="19"/>
  <c r="C40" i="19" s="1"/>
  <c r="J144" i="19"/>
  <c r="J129" i="19"/>
  <c r="J96" i="19"/>
  <c r="M67" i="19"/>
  <c r="M14" i="19"/>
  <c r="N144" i="19"/>
  <c r="N120" i="19"/>
  <c r="N96" i="19"/>
  <c r="N72" i="19"/>
  <c r="N48" i="19"/>
  <c r="P138" i="19"/>
  <c r="P79" i="19"/>
  <c r="P20" i="19"/>
  <c r="M81" i="19"/>
  <c r="N81" i="19"/>
  <c r="D121" i="19"/>
  <c r="C121" i="19" s="1"/>
  <c r="D72" i="19"/>
  <c r="C72" i="19" s="1"/>
  <c r="M33" i="19"/>
  <c r="N33" i="19"/>
  <c r="M117" i="19"/>
  <c r="N117" i="19"/>
  <c r="K98" i="19"/>
  <c r="P98" i="19"/>
  <c r="Q98" i="19" s="1"/>
  <c r="K87" i="19"/>
  <c r="P87" i="19"/>
  <c r="M87" i="19"/>
  <c r="N77" i="19"/>
  <c r="P77" i="19"/>
  <c r="M69" i="19"/>
  <c r="N69" i="19"/>
  <c r="K136" i="19"/>
  <c r="K88" i="19"/>
  <c r="K71" i="19"/>
  <c r="K40" i="19"/>
  <c r="K23" i="19"/>
  <c r="M139" i="19"/>
  <c r="P145" i="19"/>
  <c r="M145" i="19"/>
  <c r="J145" i="19"/>
  <c r="P97" i="19"/>
  <c r="Q97" i="19" s="1"/>
  <c r="M97" i="19"/>
  <c r="J97" i="19"/>
  <c r="K86" i="19"/>
  <c r="P86" i="19"/>
  <c r="M58" i="19"/>
  <c r="N58" i="19"/>
  <c r="K50" i="19"/>
  <c r="P50" i="19"/>
  <c r="K39" i="19"/>
  <c r="P39" i="19"/>
  <c r="M39" i="19"/>
  <c r="D152" i="19"/>
  <c r="C152" i="19" s="1"/>
  <c r="D140" i="19"/>
  <c r="C140" i="19" s="1"/>
  <c r="D128" i="19"/>
  <c r="C128" i="19" s="1"/>
  <c r="D104" i="19"/>
  <c r="C104" i="19" s="1"/>
  <c r="D80" i="19"/>
  <c r="C80" i="19" s="1"/>
  <c r="D67" i="19"/>
  <c r="C67" i="19" s="1"/>
  <c r="D39" i="19"/>
  <c r="C39" i="19" s="1"/>
  <c r="J143" i="19"/>
  <c r="J95" i="19"/>
  <c r="J78" i="19"/>
  <c r="J63" i="19"/>
  <c r="J47" i="19"/>
  <c r="J30" i="19"/>
  <c r="K150" i="19"/>
  <c r="K118" i="19"/>
  <c r="K70" i="19"/>
  <c r="K22" i="19"/>
  <c r="M156" i="19"/>
  <c r="M138" i="19"/>
  <c r="M120" i="19"/>
  <c r="M84" i="19"/>
  <c r="M30" i="19"/>
  <c r="M12" i="19"/>
  <c r="N143" i="19"/>
  <c r="N119" i="19"/>
  <c r="N95" i="19"/>
  <c r="N71" i="19"/>
  <c r="N47" i="19"/>
  <c r="N14" i="19"/>
  <c r="P78" i="19"/>
  <c r="M110" i="19"/>
  <c r="N89" i="19"/>
  <c r="P89" i="19"/>
  <c r="D71" i="19"/>
  <c r="C71" i="19" s="1"/>
  <c r="P85" i="19"/>
  <c r="M85" i="19"/>
  <c r="J85" i="19"/>
  <c r="N76" i="19"/>
  <c r="P76" i="19"/>
  <c r="J68" i="19"/>
  <c r="N68" i="19"/>
  <c r="K68" i="19"/>
  <c r="M57" i="19"/>
  <c r="N57" i="19"/>
  <c r="P49" i="19"/>
  <c r="M49" i="19"/>
  <c r="J49" i="19"/>
  <c r="K38" i="19"/>
  <c r="P38" i="19"/>
  <c r="J19" i="19"/>
  <c r="N19" i="19"/>
  <c r="D38" i="19"/>
  <c r="C38" i="19" s="1"/>
  <c r="D23" i="19"/>
  <c r="C23" i="19" s="1"/>
  <c r="J77" i="19"/>
  <c r="J14" i="19"/>
  <c r="N139" i="19"/>
  <c r="N115" i="19"/>
  <c r="N67" i="19"/>
  <c r="P129" i="19"/>
  <c r="P70" i="19"/>
  <c r="P90" i="19"/>
  <c r="J148" i="19"/>
  <c r="M153" i="19"/>
  <c r="N153" i="19"/>
  <c r="K117" i="19"/>
  <c r="D48" i="19"/>
  <c r="C48" i="19" s="1"/>
  <c r="P48" i="19"/>
  <c r="Q48" i="19" s="1"/>
  <c r="N28" i="19"/>
  <c r="P28" i="19"/>
  <c r="N18" i="19"/>
  <c r="D18" i="19"/>
  <c r="C18" i="19" s="1"/>
  <c r="M9" i="19"/>
  <c r="N9" i="19"/>
  <c r="J76" i="19"/>
  <c r="J28" i="19"/>
  <c r="J12" i="19"/>
  <c r="K148" i="19"/>
  <c r="K115" i="19"/>
  <c r="K100" i="19"/>
  <c r="K67" i="19"/>
  <c r="K52" i="19"/>
  <c r="K19" i="19"/>
  <c r="M136" i="19"/>
  <c r="M28" i="19"/>
  <c r="N87" i="19"/>
  <c r="N63" i="19"/>
  <c r="N38" i="19"/>
  <c r="N12" i="19"/>
  <c r="P154" i="19"/>
  <c r="Q154" i="19" s="1"/>
  <c r="P128" i="19"/>
  <c r="P69" i="19"/>
  <c r="K147" i="19"/>
  <c r="P147" i="19"/>
  <c r="M147" i="19"/>
  <c r="N100" i="19"/>
  <c r="P100" i="19"/>
  <c r="J80" i="19"/>
  <c r="N80" i="19"/>
  <c r="K80" i="19"/>
  <c r="K62" i="19"/>
  <c r="P62" i="19"/>
  <c r="N53" i="19"/>
  <c r="P53" i="19"/>
  <c r="J43" i="19"/>
  <c r="N43" i="19"/>
  <c r="D13" i="19"/>
  <c r="C13" i="19" s="1"/>
  <c r="P13" i="19"/>
  <c r="M13" i="19"/>
  <c r="J13" i="19"/>
  <c r="D156" i="19"/>
  <c r="C156" i="19" s="1"/>
  <c r="K135" i="19"/>
  <c r="P135" i="19"/>
  <c r="M135" i="19"/>
  <c r="M106" i="19"/>
  <c r="N106" i="19"/>
  <c r="D139" i="19"/>
  <c r="C139" i="19" s="1"/>
  <c r="J110" i="19"/>
  <c r="K69" i="19"/>
  <c r="K53" i="19"/>
  <c r="J152" i="19"/>
  <c r="N152" i="19"/>
  <c r="K152" i="19"/>
  <c r="M105" i="19"/>
  <c r="N105" i="19"/>
  <c r="M142" i="19"/>
  <c r="N142" i="19"/>
  <c r="P133" i="19"/>
  <c r="M133" i="19"/>
  <c r="J133" i="19"/>
  <c r="N124" i="19"/>
  <c r="P124" i="19"/>
  <c r="J104" i="19"/>
  <c r="N104" i="19"/>
  <c r="K104" i="19"/>
  <c r="M94" i="19"/>
  <c r="N94" i="19"/>
  <c r="N66" i="19"/>
  <c r="D66" i="19"/>
  <c r="C66" i="19" s="1"/>
  <c r="J56" i="19"/>
  <c r="N56" i="19"/>
  <c r="K56" i="19"/>
  <c r="P37" i="19"/>
  <c r="M37" i="19"/>
  <c r="J37" i="19"/>
  <c r="J8" i="19"/>
  <c r="N8" i="19"/>
  <c r="K8" i="19"/>
  <c r="D137" i="19"/>
  <c r="C137" i="19" s="1"/>
  <c r="D89" i="19"/>
  <c r="C89" i="19" s="1"/>
  <c r="D76" i="19"/>
  <c r="C76" i="19" s="1"/>
  <c r="D63" i="19"/>
  <c r="C63" i="19" s="1"/>
  <c r="D50" i="19"/>
  <c r="C50" i="19" s="1"/>
  <c r="D21" i="19"/>
  <c r="C21" i="19" s="1"/>
  <c r="J155" i="19"/>
  <c r="J138" i="19"/>
  <c r="J107" i="19"/>
  <c r="J90" i="19"/>
  <c r="J59" i="19"/>
  <c r="J42" i="19"/>
  <c r="K145" i="19"/>
  <c r="K114" i="19"/>
  <c r="K97" i="19"/>
  <c r="K66" i="19"/>
  <c r="K49" i="19"/>
  <c r="K34" i="19"/>
  <c r="K18" i="19"/>
  <c r="M151" i="19"/>
  <c r="M134" i="19"/>
  <c r="M115" i="19"/>
  <c r="M98" i="19"/>
  <c r="M79" i="19"/>
  <c r="M62" i="19"/>
  <c r="M43" i="19"/>
  <c r="N110" i="19"/>
  <c r="N86" i="19"/>
  <c r="N62" i="19"/>
  <c r="N37" i="19"/>
  <c r="P153" i="19"/>
  <c r="P127" i="19"/>
  <c r="P94" i="19"/>
  <c r="Q94" i="19" s="1"/>
  <c r="P68" i="19"/>
  <c r="P42" i="19"/>
  <c r="P9" i="19"/>
  <c r="K134" i="19"/>
  <c r="P134" i="19"/>
  <c r="N125" i="19"/>
  <c r="P125" i="19"/>
  <c r="K75" i="19"/>
  <c r="P75" i="19"/>
  <c r="M75" i="19"/>
  <c r="D90" i="19"/>
  <c r="C90" i="19" s="1"/>
  <c r="D77" i="19"/>
  <c r="C77" i="19" s="1"/>
  <c r="D22" i="19"/>
  <c r="C22" i="19" s="1"/>
  <c r="J156" i="19"/>
  <c r="N113" i="19"/>
  <c r="P113" i="19"/>
  <c r="M93" i="19"/>
  <c r="N93" i="19"/>
  <c r="N65" i="19"/>
  <c r="P65" i="19"/>
  <c r="M46" i="19"/>
  <c r="N46" i="19"/>
  <c r="K27" i="19"/>
  <c r="P27" i="19"/>
  <c r="M27" i="19"/>
  <c r="N17" i="19"/>
  <c r="P17" i="19"/>
  <c r="J7" i="19"/>
  <c r="N7" i="19"/>
  <c r="D148" i="19"/>
  <c r="C148" i="19" s="1"/>
  <c r="D136" i="19"/>
  <c r="C136" i="19" s="1"/>
  <c r="D124" i="19"/>
  <c r="C124" i="19" s="1"/>
  <c r="D100" i="19"/>
  <c r="C100" i="19" s="1"/>
  <c r="D88" i="19"/>
  <c r="C88" i="19" s="1"/>
  <c r="D75" i="19"/>
  <c r="C75" i="19" s="1"/>
  <c r="D62" i="19"/>
  <c r="C62" i="19" s="1"/>
  <c r="D49" i="19"/>
  <c r="C49" i="19" s="1"/>
  <c r="D34" i="19"/>
  <c r="C34" i="19" s="1"/>
  <c r="D20" i="19"/>
  <c r="C20" i="19" s="1"/>
  <c r="J154" i="19"/>
  <c r="J137" i="19"/>
  <c r="J106" i="19"/>
  <c r="J89" i="19"/>
  <c r="J58" i="19"/>
  <c r="J41" i="19"/>
  <c r="K144" i="19"/>
  <c r="K129" i="19"/>
  <c r="K113" i="19"/>
  <c r="K96" i="19"/>
  <c r="K81" i="19"/>
  <c r="K65" i="19"/>
  <c r="K48" i="19"/>
  <c r="K33" i="19"/>
  <c r="K17" i="19"/>
  <c r="M150" i="19"/>
  <c r="M132" i="19"/>
  <c r="M114" i="19"/>
  <c r="M96" i="19"/>
  <c r="M78" i="19"/>
  <c r="M60" i="19"/>
  <c r="M42" i="19"/>
  <c r="M24" i="19"/>
  <c r="N157" i="19"/>
  <c r="N133" i="19"/>
  <c r="N109" i="19"/>
  <c r="N85" i="19"/>
  <c r="N61" i="19"/>
  <c r="P152" i="19"/>
  <c r="P93" i="19"/>
  <c r="Q93" i="19" s="1"/>
  <c r="P67" i="19"/>
  <c r="P34" i="19"/>
  <c r="P8" i="19"/>
  <c r="G137" i="19"/>
  <c r="F137" i="19"/>
  <c r="G65" i="19"/>
  <c r="F65" i="19"/>
  <c r="G29" i="19"/>
  <c r="F29" i="19"/>
  <c r="G124" i="19"/>
  <c r="F124" i="19"/>
  <c r="G100" i="19"/>
  <c r="F100" i="19"/>
  <c r="G99" i="19"/>
  <c r="F99" i="19"/>
  <c r="G87" i="19"/>
  <c r="F87" i="19"/>
  <c r="C87" i="19"/>
  <c r="G63" i="19"/>
  <c r="F63" i="19"/>
  <c r="G51" i="19"/>
  <c r="F51" i="19"/>
  <c r="G39" i="19"/>
  <c r="F39" i="19"/>
  <c r="G27" i="19"/>
  <c r="F27" i="19"/>
  <c r="G15" i="19"/>
  <c r="F15" i="19"/>
  <c r="F5" i="19"/>
  <c r="G5" i="19"/>
  <c r="G146" i="19"/>
  <c r="F146" i="19"/>
  <c r="G134" i="19"/>
  <c r="F134" i="19"/>
  <c r="C122" i="19"/>
  <c r="F122" i="19"/>
  <c r="G122" i="19"/>
  <c r="G110" i="19"/>
  <c r="C110" i="19"/>
  <c r="F110" i="19"/>
  <c r="F98" i="19"/>
  <c r="G98" i="19"/>
  <c r="F86" i="19"/>
  <c r="G86" i="19"/>
  <c r="C86" i="19"/>
  <c r="G74" i="19"/>
  <c r="F74" i="19"/>
  <c r="C74" i="19"/>
  <c r="F62" i="19"/>
  <c r="G62" i="19"/>
  <c r="G50" i="19"/>
  <c r="F50" i="19"/>
  <c r="F38" i="19"/>
  <c r="G38" i="19"/>
  <c r="F26" i="19"/>
  <c r="G26" i="19"/>
  <c r="G14" i="19"/>
  <c r="F14" i="19"/>
  <c r="C14" i="19"/>
  <c r="G113" i="19"/>
  <c r="F113" i="19"/>
  <c r="C113" i="19"/>
  <c r="G17" i="19"/>
  <c r="F17" i="19"/>
  <c r="G112" i="19"/>
  <c r="F112" i="19"/>
  <c r="G75" i="19"/>
  <c r="F75" i="19"/>
  <c r="G157" i="19"/>
  <c r="F157" i="19"/>
  <c r="G145" i="19"/>
  <c r="F145" i="19"/>
  <c r="G133" i="19"/>
  <c r="F133" i="19"/>
  <c r="G121" i="19"/>
  <c r="F121" i="19"/>
  <c r="G109" i="19"/>
  <c r="F109" i="19"/>
  <c r="G97" i="19"/>
  <c r="F97" i="19"/>
  <c r="F85" i="19"/>
  <c r="G85" i="19"/>
  <c r="F73" i="19"/>
  <c r="G73" i="19"/>
  <c r="C73" i="19"/>
  <c r="F61" i="19"/>
  <c r="C61" i="19"/>
  <c r="G61" i="19"/>
  <c r="F49" i="19"/>
  <c r="G49" i="19"/>
  <c r="F37" i="19"/>
  <c r="G37" i="19"/>
  <c r="F25" i="19"/>
  <c r="G25" i="19"/>
  <c r="F13" i="19"/>
  <c r="G13" i="19"/>
  <c r="G89" i="19"/>
  <c r="F89" i="19"/>
  <c r="G40" i="19"/>
  <c r="F40" i="19"/>
  <c r="F156" i="19"/>
  <c r="G156" i="19"/>
  <c r="G144" i="19"/>
  <c r="F144" i="19"/>
  <c r="G132" i="19"/>
  <c r="F132" i="19"/>
  <c r="G120" i="19"/>
  <c r="F120" i="19"/>
  <c r="G108" i="19"/>
  <c r="F108" i="19"/>
  <c r="C96" i="19"/>
  <c r="G96" i="19"/>
  <c r="F96" i="19"/>
  <c r="F84" i="19"/>
  <c r="G84" i="19"/>
  <c r="F72" i="19"/>
  <c r="G72" i="19"/>
  <c r="F60" i="19"/>
  <c r="C60" i="19"/>
  <c r="G60" i="19"/>
  <c r="F48" i="19"/>
  <c r="G48" i="19"/>
  <c r="F36" i="19"/>
  <c r="G36" i="19"/>
  <c r="F24" i="19"/>
  <c r="G24" i="19"/>
  <c r="F12" i="19"/>
  <c r="G12" i="19"/>
  <c r="G41" i="19"/>
  <c r="F41" i="19"/>
  <c r="G88" i="19"/>
  <c r="F88" i="19"/>
  <c r="G147" i="19"/>
  <c r="F147" i="19"/>
  <c r="F143" i="19"/>
  <c r="G143" i="19"/>
  <c r="F131" i="19"/>
  <c r="G131" i="19"/>
  <c r="G119" i="19"/>
  <c r="F119" i="19"/>
  <c r="F107" i="19"/>
  <c r="G107" i="19"/>
  <c r="G95" i="19"/>
  <c r="F95" i="19"/>
  <c r="G83" i="19"/>
  <c r="F83" i="19"/>
  <c r="F71" i="19"/>
  <c r="G71" i="19"/>
  <c r="F59" i="19"/>
  <c r="G59" i="19"/>
  <c r="G47" i="19"/>
  <c r="C47" i="19"/>
  <c r="F47" i="19"/>
  <c r="G35" i="19"/>
  <c r="F35" i="19"/>
  <c r="F23" i="19"/>
  <c r="G23" i="19"/>
  <c r="F11" i="19"/>
  <c r="G11" i="19"/>
  <c r="G101" i="19"/>
  <c r="F101" i="19"/>
  <c r="G28" i="19"/>
  <c r="F28" i="19"/>
  <c r="C28" i="19"/>
  <c r="C154" i="19"/>
  <c r="F154" i="19"/>
  <c r="G154" i="19"/>
  <c r="F130" i="19"/>
  <c r="G130" i="19"/>
  <c r="G118" i="19"/>
  <c r="F118" i="19"/>
  <c r="G106" i="19"/>
  <c r="F106" i="19"/>
  <c r="C94" i="19"/>
  <c r="F94" i="19"/>
  <c r="G94" i="19"/>
  <c r="G82" i="19"/>
  <c r="F82" i="19"/>
  <c r="F70" i="19"/>
  <c r="G70" i="19"/>
  <c r="F58" i="19"/>
  <c r="C58" i="19"/>
  <c r="G58" i="19"/>
  <c r="F46" i="19"/>
  <c r="G46" i="19"/>
  <c r="F34" i="19"/>
  <c r="G34" i="19"/>
  <c r="G22" i="19"/>
  <c r="F22" i="19"/>
  <c r="F10" i="19"/>
  <c r="G10" i="19"/>
  <c r="G125" i="19"/>
  <c r="F125" i="19"/>
  <c r="C125" i="19"/>
  <c r="G148" i="19"/>
  <c r="F148" i="19"/>
  <c r="G76" i="19"/>
  <c r="F76" i="19"/>
  <c r="G111" i="19"/>
  <c r="F111" i="19"/>
  <c r="C111" i="19"/>
  <c r="G129" i="19"/>
  <c r="F129" i="19"/>
  <c r="G117" i="19"/>
  <c r="C117" i="19"/>
  <c r="F117" i="19"/>
  <c r="G105" i="19"/>
  <c r="F105" i="19"/>
  <c r="G93" i="19"/>
  <c r="C93" i="19"/>
  <c r="F93" i="19"/>
  <c r="G81" i="19"/>
  <c r="F81" i="19"/>
  <c r="G69" i="19"/>
  <c r="C69" i="19"/>
  <c r="F69" i="19"/>
  <c r="G57" i="19"/>
  <c r="F57" i="19"/>
  <c r="G45" i="19"/>
  <c r="F45" i="19"/>
  <c r="G33" i="19"/>
  <c r="F33" i="19"/>
  <c r="G21" i="19"/>
  <c r="F21" i="19"/>
  <c r="G9" i="19"/>
  <c r="F9" i="19"/>
  <c r="C9" i="19"/>
  <c r="G53" i="19"/>
  <c r="F53" i="19"/>
  <c r="C53" i="19"/>
  <c r="G64" i="19"/>
  <c r="F64" i="19"/>
  <c r="G123" i="19"/>
  <c r="F123" i="19"/>
  <c r="C123" i="19"/>
  <c r="F155" i="19"/>
  <c r="G155" i="19"/>
  <c r="G153" i="19"/>
  <c r="C153" i="19"/>
  <c r="F153" i="19"/>
  <c r="G152" i="19"/>
  <c r="F152" i="19"/>
  <c r="G140" i="19"/>
  <c r="F140" i="19"/>
  <c r="G128" i="19"/>
  <c r="F128" i="19"/>
  <c r="G116" i="19"/>
  <c r="F116" i="19"/>
  <c r="G104" i="19"/>
  <c r="F104" i="19"/>
  <c r="G92" i="19"/>
  <c r="F92" i="19"/>
  <c r="G80" i="19"/>
  <c r="F80" i="19"/>
  <c r="G68" i="19"/>
  <c r="F68" i="19"/>
  <c r="C68" i="19"/>
  <c r="G56" i="19"/>
  <c r="F56" i="19"/>
  <c r="G44" i="19"/>
  <c r="F44" i="19"/>
  <c r="G32" i="19"/>
  <c r="F32" i="19"/>
  <c r="C32" i="19"/>
  <c r="G20" i="19"/>
  <c r="F20" i="19"/>
  <c r="G8" i="19"/>
  <c r="F8" i="19"/>
  <c r="G77" i="19"/>
  <c r="F77" i="19"/>
  <c r="G52" i="19"/>
  <c r="F52" i="19"/>
  <c r="C52" i="19"/>
  <c r="G135" i="19"/>
  <c r="F135" i="19"/>
  <c r="G142" i="19"/>
  <c r="F142" i="19"/>
  <c r="G141" i="19"/>
  <c r="F141" i="19"/>
  <c r="G151" i="19"/>
  <c r="F151" i="19"/>
  <c r="G139" i="19"/>
  <c r="F139" i="19"/>
  <c r="G127" i="19"/>
  <c r="F127" i="19"/>
  <c r="G115" i="19"/>
  <c r="F115" i="19"/>
  <c r="G103" i="19"/>
  <c r="F103" i="19"/>
  <c r="C103" i="19"/>
  <c r="G91" i="19"/>
  <c r="F91" i="19"/>
  <c r="G79" i="19"/>
  <c r="F79" i="19"/>
  <c r="G67" i="19"/>
  <c r="F67" i="19"/>
  <c r="G55" i="19"/>
  <c r="F55" i="19"/>
  <c r="G43" i="19"/>
  <c r="F43" i="19"/>
  <c r="G31" i="19"/>
  <c r="F31" i="19"/>
  <c r="G19" i="19"/>
  <c r="F19" i="19"/>
  <c r="G7" i="19"/>
  <c r="F7" i="19"/>
  <c r="G149" i="19"/>
  <c r="F149" i="19"/>
  <c r="G136" i="19"/>
  <c r="F136" i="19"/>
  <c r="G16" i="19"/>
  <c r="F16" i="19"/>
  <c r="G150" i="19"/>
  <c r="F150" i="19"/>
  <c r="G138" i="19"/>
  <c r="F138" i="19"/>
  <c r="C138" i="19"/>
  <c r="G126" i="19"/>
  <c r="F126" i="19"/>
  <c r="G114" i="19"/>
  <c r="F114" i="19"/>
  <c r="G102" i="19"/>
  <c r="F102" i="19"/>
  <c r="G90" i="19"/>
  <c r="F90" i="19"/>
  <c r="G78" i="19"/>
  <c r="F78" i="19"/>
  <c r="G66" i="19"/>
  <c r="F66" i="19"/>
  <c r="G54" i="19"/>
  <c r="F54" i="19"/>
  <c r="G42" i="19"/>
  <c r="F42" i="19"/>
  <c r="G30" i="19"/>
  <c r="F30" i="19"/>
  <c r="G18" i="19"/>
  <c r="F18" i="19"/>
  <c r="G6" i="19"/>
  <c r="F6" i="19"/>
  <c r="Q156" i="19"/>
  <c r="Q33" i="19" l="1"/>
  <c r="Q6" i="19"/>
  <c r="Q147" i="19"/>
  <c r="Q77" i="19"/>
  <c r="Q8" i="19"/>
  <c r="Q150" i="19"/>
  <c r="Q144" i="19"/>
  <c r="Q131" i="19"/>
  <c r="Q70" i="19"/>
  <c r="Q18" i="19"/>
  <c r="Q10" i="19"/>
  <c r="Q49" i="19"/>
  <c r="Q86" i="19"/>
  <c r="Q138" i="19"/>
  <c r="Q64" i="19"/>
  <c r="Q110" i="19"/>
  <c r="Q91" i="19"/>
  <c r="Q62" i="19"/>
  <c r="Q134" i="19"/>
  <c r="Q113" i="19"/>
  <c r="Q66" i="19"/>
  <c r="Q132" i="19"/>
  <c r="Q120" i="19"/>
  <c r="Q36" i="19"/>
  <c r="Q45" i="19"/>
  <c r="Q72" i="19"/>
  <c r="Q129" i="19"/>
  <c r="Q68" i="19"/>
  <c r="Q153" i="19"/>
  <c r="Q69" i="19"/>
  <c r="Q117" i="19"/>
  <c r="Q12" i="19"/>
  <c r="Q84" i="19"/>
  <c r="Q21" i="19"/>
  <c r="Q24" i="19"/>
  <c r="Q137" i="19"/>
  <c r="Q20" i="19"/>
  <c r="Q140" i="19"/>
  <c r="Q56" i="19"/>
  <c r="Q116" i="19"/>
  <c r="Q92" i="19"/>
  <c r="Q27" i="19"/>
  <c r="Q88" i="19"/>
  <c r="Q122" i="19"/>
  <c r="Q81" i="19"/>
  <c r="Q141" i="19"/>
  <c r="Q125" i="19"/>
  <c r="Q57" i="19"/>
  <c r="Q54" i="19"/>
  <c r="Q9" i="19"/>
  <c r="Q59" i="19"/>
  <c r="Q35" i="19"/>
  <c r="Q80" i="19"/>
  <c r="Q152" i="19"/>
  <c r="Q58" i="19"/>
  <c r="Q118" i="19"/>
  <c r="Q47" i="19"/>
  <c r="Q71" i="19"/>
  <c r="Q101" i="19"/>
  <c r="Q29" i="19"/>
  <c r="Q85" i="19"/>
  <c r="Q7" i="19"/>
  <c r="Q127" i="19"/>
  <c r="Q43" i="19"/>
  <c r="Q145" i="19"/>
  <c r="Q14" i="19"/>
  <c r="Q139" i="19"/>
  <c r="Q19" i="19"/>
  <c r="Q51" i="19"/>
  <c r="Q40" i="19"/>
  <c r="Q39" i="19"/>
  <c r="Q124" i="19"/>
  <c r="Q50" i="19"/>
  <c r="Q114" i="19"/>
  <c r="Q15" i="19"/>
  <c r="Q100" i="19"/>
  <c r="Q75" i="19"/>
  <c r="Q42" i="19"/>
  <c r="Q46" i="19"/>
  <c r="Q22" i="19"/>
  <c r="Q34" i="19"/>
  <c r="Q82" i="19"/>
  <c r="Q128" i="19"/>
  <c r="Q143" i="19"/>
  <c r="Q119" i="19"/>
  <c r="Q83" i="19"/>
  <c r="Q44" i="19"/>
  <c r="Q90" i="19"/>
  <c r="Q78" i="19"/>
  <c r="Q11" i="19"/>
  <c r="Q13" i="19"/>
  <c r="Q133" i="19"/>
  <c r="Q109" i="19"/>
  <c r="Q151" i="19"/>
  <c r="Q67" i="19"/>
  <c r="Q5" i="19"/>
  <c r="Q25" i="19"/>
  <c r="Q38" i="19"/>
  <c r="Q136" i="19"/>
  <c r="Q79" i="19"/>
  <c r="Q53" i="19"/>
  <c r="Q16" i="19"/>
  <c r="Q102" i="19"/>
  <c r="Q148" i="19"/>
  <c r="Q74" i="19"/>
  <c r="Q76" i="19"/>
  <c r="Q30" i="19"/>
  <c r="Q28" i="19"/>
  <c r="Q52" i="19"/>
  <c r="Q60" i="19"/>
  <c r="Q105" i="19"/>
  <c r="Q107" i="19"/>
  <c r="Q23" i="19"/>
  <c r="Q130" i="19"/>
  <c r="Q106" i="19"/>
  <c r="Q142" i="19"/>
  <c r="Q149" i="19"/>
  <c r="Q32" i="19"/>
  <c r="Q104" i="19"/>
  <c r="Q126" i="19"/>
  <c r="Q17" i="19"/>
  <c r="Q41" i="19"/>
  <c r="Q61" i="19"/>
  <c r="Q55" i="19"/>
  <c r="Q121" i="19"/>
  <c r="Q115" i="19"/>
  <c r="Q99" i="19"/>
  <c r="Q37" i="19"/>
  <c r="Q73" i="19"/>
  <c r="Q112" i="19"/>
  <c r="Q31" i="19"/>
  <c r="Q103" i="19"/>
  <c r="Q123" i="19"/>
  <c r="Q89" i="19"/>
  <c r="Q135" i="19"/>
  <c r="Q63" i="19"/>
  <c r="Q87" i="19"/>
  <c r="Q26" i="19"/>
  <c r="Q65" i="19"/>
  <c r="Q111" i="19"/>
  <c r="Q146" i="19"/>
  <c r="T229" i="19"/>
  <c r="P229" i="19"/>
  <c r="N229" i="19"/>
  <c r="M229" i="19"/>
  <c r="L229" i="19" s="1"/>
  <c r="K229" i="19"/>
  <c r="J229" i="19"/>
  <c r="I229" i="19"/>
  <c r="H229" i="19"/>
  <c r="G229" i="19"/>
  <c r="F229" i="19"/>
  <c r="C229" i="19"/>
  <c r="T228" i="19"/>
  <c r="P228" i="19"/>
  <c r="N228" i="19"/>
  <c r="M228" i="19"/>
  <c r="L228" i="19" s="1"/>
  <c r="K228" i="19"/>
  <c r="J228" i="19"/>
  <c r="I228" i="19"/>
  <c r="H228" i="19"/>
  <c r="G228" i="19"/>
  <c r="F228" i="19"/>
  <c r="C228" i="19"/>
  <c r="T227" i="19"/>
  <c r="P227" i="19"/>
  <c r="N227" i="19"/>
  <c r="M227" i="19"/>
  <c r="L227" i="19" s="1"/>
  <c r="O227" i="19" s="1"/>
  <c r="K227" i="19"/>
  <c r="J227" i="19"/>
  <c r="I227" i="19"/>
  <c r="H227" i="19"/>
  <c r="G227" i="19"/>
  <c r="F227" i="19"/>
  <c r="C227" i="19"/>
  <c r="T226" i="19"/>
  <c r="P226" i="19"/>
  <c r="N226" i="19"/>
  <c r="M226" i="19"/>
  <c r="L226" i="19" s="1"/>
  <c r="K226" i="19"/>
  <c r="J226" i="19"/>
  <c r="I226" i="19"/>
  <c r="H226" i="19"/>
  <c r="G226" i="19"/>
  <c r="F226" i="19"/>
  <c r="C226" i="19"/>
  <c r="T225" i="19"/>
  <c r="P225" i="19"/>
  <c r="N225" i="19"/>
  <c r="M225" i="19"/>
  <c r="L225" i="19" s="1"/>
  <c r="O225" i="19" s="1"/>
  <c r="K225" i="19"/>
  <c r="J225" i="19"/>
  <c r="I225" i="19"/>
  <c r="H225" i="19"/>
  <c r="G225" i="19"/>
  <c r="F225" i="19"/>
  <c r="C225" i="19"/>
  <c r="T224" i="19"/>
  <c r="P224" i="19"/>
  <c r="N224" i="19"/>
  <c r="M224" i="19"/>
  <c r="L224" i="19"/>
  <c r="O224" i="19" s="1"/>
  <c r="K224" i="19"/>
  <c r="J224" i="19"/>
  <c r="I224" i="19"/>
  <c r="H224" i="19"/>
  <c r="G224" i="19"/>
  <c r="F224" i="19"/>
  <c r="C224" i="19"/>
  <c r="T223" i="19"/>
  <c r="P223" i="19"/>
  <c r="N223" i="19"/>
  <c r="M223" i="19"/>
  <c r="L223" i="19" s="1"/>
  <c r="O223" i="19" s="1"/>
  <c r="K223" i="19"/>
  <c r="J223" i="19"/>
  <c r="I223" i="19"/>
  <c r="H223" i="19"/>
  <c r="G223" i="19"/>
  <c r="F223" i="19"/>
  <c r="C223" i="19"/>
  <c r="T222" i="19"/>
  <c r="P222" i="19"/>
  <c r="N222" i="19"/>
  <c r="M222" i="19"/>
  <c r="L222" i="19" s="1"/>
  <c r="K222" i="19"/>
  <c r="J222" i="19"/>
  <c r="I222" i="19"/>
  <c r="H222" i="19"/>
  <c r="G222" i="19"/>
  <c r="F222" i="19"/>
  <c r="C222" i="19"/>
  <c r="T221" i="19"/>
  <c r="P221" i="19"/>
  <c r="N221" i="19"/>
  <c r="M221" i="19"/>
  <c r="L221" i="19" s="1"/>
  <c r="K221" i="19"/>
  <c r="J221" i="19"/>
  <c r="I221" i="19"/>
  <c r="H221" i="19"/>
  <c r="G221" i="19"/>
  <c r="F221" i="19"/>
  <c r="C221" i="19"/>
  <c r="T220" i="19"/>
  <c r="P220" i="19"/>
  <c r="N220" i="19"/>
  <c r="M220" i="19"/>
  <c r="L220" i="19" s="1"/>
  <c r="K220" i="19"/>
  <c r="J220" i="19"/>
  <c r="I220" i="19"/>
  <c r="H220" i="19"/>
  <c r="G220" i="19"/>
  <c r="F220" i="19"/>
  <c r="C220" i="19"/>
  <c r="T219" i="19"/>
  <c r="P219" i="19"/>
  <c r="N219" i="19"/>
  <c r="M219" i="19"/>
  <c r="L219" i="19" s="1"/>
  <c r="O219" i="19" s="1"/>
  <c r="K219" i="19"/>
  <c r="J219" i="19"/>
  <c r="I219" i="19"/>
  <c r="H219" i="19"/>
  <c r="G219" i="19"/>
  <c r="F219" i="19"/>
  <c r="C219" i="19"/>
  <c r="T218" i="19"/>
  <c r="P218" i="19"/>
  <c r="N218" i="19"/>
  <c r="M218" i="19"/>
  <c r="L218" i="19" s="1"/>
  <c r="K218" i="19"/>
  <c r="J218" i="19"/>
  <c r="I218" i="19"/>
  <c r="H218" i="19"/>
  <c r="G218" i="19"/>
  <c r="F218" i="19"/>
  <c r="C218" i="19"/>
  <c r="T217" i="19"/>
  <c r="P217" i="19"/>
  <c r="N217" i="19"/>
  <c r="M217" i="19"/>
  <c r="L217" i="19" s="1"/>
  <c r="K217" i="19"/>
  <c r="J217" i="19"/>
  <c r="I217" i="19"/>
  <c r="H217" i="19"/>
  <c r="G217" i="19"/>
  <c r="F217" i="19"/>
  <c r="C217" i="19"/>
  <c r="T216" i="19"/>
  <c r="P216" i="19"/>
  <c r="N216" i="19"/>
  <c r="M216" i="19"/>
  <c r="L216" i="19" s="1"/>
  <c r="K216" i="19"/>
  <c r="J216" i="19"/>
  <c r="I216" i="19"/>
  <c r="H216" i="19"/>
  <c r="G216" i="19"/>
  <c r="F216" i="19"/>
  <c r="C216" i="19"/>
  <c r="T215" i="19"/>
  <c r="P215" i="19"/>
  <c r="N215" i="19"/>
  <c r="M215" i="19"/>
  <c r="L215" i="19" s="1"/>
  <c r="K215" i="19"/>
  <c r="J215" i="19"/>
  <c r="I215" i="19"/>
  <c r="H215" i="19"/>
  <c r="G215" i="19"/>
  <c r="F215" i="19"/>
  <c r="C215" i="19"/>
  <c r="T214" i="19"/>
  <c r="P214" i="19"/>
  <c r="N214" i="19"/>
  <c r="M214" i="19"/>
  <c r="L214" i="19" s="1"/>
  <c r="K214" i="19"/>
  <c r="J214" i="19"/>
  <c r="I214" i="19"/>
  <c r="H214" i="19"/>
  <c r="G214" i="19"/>
  <c r="F214" i="19"/>
  <c r="C214" i="19"/>
  <c r="T213" i="19"/>
  <c r="P213" i="19"/>
  <c r="N213" i="19"/>
  <c r="M213" i="19"/>
  <c r="L213" i="19" s="1"/>
  <c r="K213" i="19"/>
  <c r="J213" i="19"/>
  <c r="I213" i="19"/>
  <c r="H213" i="19"/>
  <c r="G213" i="19"/>
  <c r="F213" i="19"/>
  <c r="C213" i="19"/>
  <c r="T212" i="19"/>
  <c r="P212" i="19"/>
  <c r="N212" i="19"/>
  <c r="M212" i="19"/>
  <c r="L212" i="19" s="1"/>
  <c r="K212" i="19"/>
  <c r="J212" i="19"/>
  <c r="I212" i="19"/>
  <c r="H212" i="19"/>
  <c r="G212" i="19"/>
  <c r="F212" i="19"/>
  <c r="C212" i="19"/>
  <c r="T211" i="19"/>
  <c r="P211" i="19"/>
  <c r="N211" i="19"/>
  <c r="M211" i="19"/>
  <c r="L211" i="19" s="1"/>
  <c r="K211" i="19"/>
  <c r="J211" i="19"/>
  <c r="I211" i="19"/>
  <c r="H211" i="19"/>
  <c r="G211" i="19"/>
  <c r="F211" i="19"/>
  <c r="C211" i="19"/>
  <c r="T210" i="19"/>
  <c r="P210" i="19"/>
  <c r="N210" i="19"/>
  <c r="M210" i="19"/>
  <c r="L210" i="19" s="1"/>
  <c r="K210" i="19"/>
  <c r="J210" i="19"/>
  <c r="I210" i="19"/>
  <c r="H210" i="19"/>
  <c r="G210" i="19"/>
  <c r="F210" i="19"/>
  <c r="C210" i="19"/>
  <c r="T209" i="19"/>
  <c r="P209" i="19"/>
  <c r="N209" i="19"/>
  <c r="M209" i="19"/>
  <c r="L209" i="19" s="1"/>
  <c r="K209" i="19"/>
  <c r="J209" i="19"/>
  <c r="I209" i="19"/>
  <c r="H209" i="19"/>
  <c r="G209" i="19"/>
  <c r="F209" i="19"/>
  <c r="C209" i="19"/>
  <c r="T208" i="19"/>
  <c r="P208" i="19"/>
  <c r="N208" i="19"/>
  <c r="M208" i="19"/>
  <c r="X208" i="19" s="1"/>
  <c r="K208" i="19"/>
  <c r="J208" i="19"/>
  <c r="I208" i="19"/>
  <c r="H208" i="19"/>
  <c r="G208" i="19"/>
  <c r="F208" i="19"/>
  <c r="C208" i="19"/>
  <c r="T207" i="19"/>
  <c r="P207" i="19"/>
  <c r="N207" i="19"/>
  <c r="M207" i="19"/>
  <c r="X207" i="19" s="1"/>
  <c r="K207" i="19"/>
  <c r="J207" i="19"/>
  <c r="I207" i="19"/>
  <c r="H207" i="19"/>
  <c r="G207" i="19"/>
  <c r="F207" i="19"/>
  <c r="C207" i="19"/>
  <c r="T206" i="19"/>
  <c r="P206" i="19"/>
  <c r="N206" i="19"/>
  <c r="M206" i="19"/>
  <c r="L206" i="19" s="1"/>
  <c r="O206" i="19" s="1"/>
  <c r="K206" i="19"/>
  <c r="J206" i="19"/>
  <c r="I206" i="19"/>
  <c r="H206" i="19"/>
  <c r="G206" i="19"/>
  <c r="F206" i="19"/>
  <c r="C206" i="19"/>
  <c r="T205" i="19"/>
  <c r="P205" i="19"/>
  <c r="N205" i="19"/>
  <c r="M205" i="19"/>
  <c r="L205" i="19" s="1"/>
  <c r="K205" i="19"/>
  <c r="J205" i="19"/>
  <c r="I205" i="19"/>
  <c r="H205" i="19"/>
  <c r="G205" i="19"/>
  <c r="F205" i="19"/>
  <c r="C205" i="19"/>
  <c r="T204" i="19"/>
  <c r="P204" i="19"/>
  <c r="N204" i="19"/>
  <c r="M204" i="19"/>
  <c r="X204" i="19" s="1"/>
  <c r="K204" i="19"/>
  <c r="J204" i="19"/>
  <c r="I204" i="19"/>
  <c r="H204" i="19"/>
  <c r="G204" i="19"/>
  <c r="F204" i="19"/>
  <c r="C204" i="19"/>
  <c r="T203" i="19"/>
  <c r="P203" i="19"/>
  <c r="N203" i="19"/>
  <c r="M203" i="19"/>
  <c r="X203" i="19" s="1"/>
  <c r="K203" i="19"/>
  <c r="J203" i="19"/>
  <c r="I203" i="19"/>
  <c r="H203" i="19"/>
  <c r="G203" i="19"/>
  <c r="F203" i="19"/>
  <c r="C203" i="19"/>
  <c r="T202" i="19"/>
  <c r="P202" i="19"/>
  <c r="N202" i="19"/>
  <c r="M202" i="19"/>
  <c r="X202" i="19" s="1"/>
  <c r="K202" i="19"/>
  <c r="J202" i="19"/>
  <c r="I202" i="19"/>
  <c r="H202" i="19"/>
  <c r="G202" i="19"/>
  <c r="F202" i="19"/>
  <c r="C202" i="19"/>
  <c r="T201" i="19"/>
  <c r="P201" i="19"/>
  <c r="N201" i="19"/>
  <c r="M201" i="19"/>
  <c r="X201" i="19" s="1"/>
  <c r="K201" i="19"/>
  <c r="J201" i="19"/>
  <c r="I201" i="19"/>
  <c r="H201" i="19"/>
  <c r="G201" i="19"/>
  <c r="F201" i="19"/>
  <c r="C201" i="19"/>
  <c r="T200" i="19"/>
  <c r="P200" i="19"/>
  <c r="V200" i="19" s="1"/>
  <c r="N200" i="19"/>
  <c r="W200" i="19" s="1"/>
  <c r="M200" i="19"/>
  <c r="L200" i="19" s="1"/>
  <c r="K200" i="19"/>
  <c r="J200" i="19"/>
  <c r="I200" i="19"/>
  <c r="H200" i="19"/>
  <c r="G200" i="19"/>
  <c r="F200" i="19"/>
  <c r="C200" i="19"/>
  <c r="T199" i="19"/>
  <c r="P199" i="19"/>
  <c r="V199" i="19" s="1"/>
  <c r="N199" i="19"/>
  <c r="M199" i="19"/>
  <c r="L199" i="19" s="1"/>
  <c r="K199" i="19"/>
  <c r="J199" i="19"/>
  <c r="I199" i="19"/>
  <c r="H199" i="19"/>
  <c r="G199" i="19"/>
  <c r="F199" i="19"/>
  <c r="C199" i="19"/>
  <c r="T198" i="19"/>
  <c r="P198" i="19"/>
  <c r="V198" i="19" s="1"/>
  <c r="N198" i="19"/>
  <c r="W198" i="19" s="1"/>
  <c r="M198" i="19"/>
  <c r="L198" i="19" s="1"/>
  <c r="O198" i="19" s="1"/>
  <c r="K198" i="19"/>
  <c r="J198" i="19"/>
  <c r="I198" i="19"/>
  <c r="H198" i="19"/>
  <c r="G198" i="19"/>
  <c r="F198" i="19"/>
  <c r="C198" i="19"/>
  <c r="T197" i="19"/>
  <c r="P197" i="19"/>
  <c r="V197" i="19" s="1"/>
  <c r="N197" i="19"/>
  <c r="W197" i="19" s="1"/>
  <c r="M197" i="19"/>
  <c r="L197" i="19" s="1"/>
  <c r="K197" i="19"/>
  <c r="J197" i="19"/>
  <c r="I197" i="19"/>
  <c r="H197" i="19"/>
  <c r="G197" i="19"/>
  <c r="F197" i="19"/>
  <c r="C197" i="19"/>
  <c r="T196" i="19"/>
  <c r="P196" i="19"/>
  <c r="V196" i="19" s="1"/>
  <c r="N196" i="19"/>
  <c r="W196" i="19" s="1"/>
  <c r="M196" i="19"/>
  <c r="L196" i="19" s="1"/>
  <c r="K196" i="19"/>
  <c r="J196" i="19"/>
  <c r="I196" i="19"/>
  <c r="H196" i="19"/>
  <c r="G196" i="19"/>
  <c r="F196" i="19"/>
  <c r="C196" i="19"/>
  <c r="T195" i="19"/>
  <c r="P195" i="19"/>
  <c r="V195" i="19" s="1"/>
  <c r="N195" i="19"/>
  <c r="W195" i="19" s="1"/>
  <c r="M195" i="19"/>
  <c r="L195" i="19" s="1"/>
  <c r="K195" i="19"/>
  <c r="J195" i="19"/>
  <c r="I195" i="19"/>
  <c r="H195" i="19"/>
  <c r="G195" i="19"/>
  <c r="F195" i="19"/>
  <c r="C195" i="19"/>
  <c r="T194" i="19"/>
  <c r="P194" i="19"/>
  <c r="V194" i="19" s="1"/>
  <c r="N194" i="19"/>
  <c r="W194" i="19" s="1"/>
  <c r="M194" i="19"/>
  <c r="L194" i="19" s="1"/>
  <c r="O194" i="19" s="1"/>
  <c r="K194" i="19"/>
  <c r="J194" i="19"/>
  <c r="I194" i="19"/>
  <c r="H194" i="19"/>
  <c r="G194" i="19"/>
  <c r="F194" i="19"/>
  <c r="C194" i="19"/>
  <c r="T193" i="19"/>
  <c r="P193" i="19"/>
  <c r="V193" i="19" s="1"/>
  <c r="N193" i="19"/>
  <c r="W193" i="19" s="1"/>
  <c r="M193" i="19"/>
  <c r="L193" i="19" s="1"/>
  <c r="K193" i="19"/>
  <c r="J193" i="19"/>
  <c r="I193" i="19"/>
  <c r="H193" i="19"/>
  <c r="G193" i="19"/>
  <c r="F193" i="19"/>
  <c r="C193" i="19"/>
  <c r="T192" i="19"/>
  <c r="P192" i="19"/>
  <c r="V192" i="19" s="1"/>
  <c r="N192" i="19"/>
  <c r="W192" i="19" s="1"/>
  <c r="M192" i="19"/>
  <c r="L192" i="19" s="1"/>
  <c r="K192" i="19"/>
  <c r="J192" i="19"/>
  <c r="I192" i="19"/>
  <c r="H192" i="19"/>
  <c r="G192" i="19"/>
  <c r="F192" i="19"/>
  <c r="C192" i="19"/>
  <c r="T191" i="19"/>
  <c r="P191" i="19"/>
  <c r="V191" i="19" s="1"/>
  <c r="N191" i="19"/>
  <c r="W191" i="19" s="1"/>
  <c r="M191" i="19"/>
  <c r="L191" i="19" s="1"/>
  <c r="K191" i="19"/>
  <c r="J191" i="19"/>
  <c r="I191" i="19"/>
  <c r="H191" i="19"/>
  <c r="G191" i="19"/>
  <c r="F191" i="19"/>
  <c r="C191" i="19"/>
  <c r="T190" i="19"/>
  <c r="P190" i="19"/>
  <c r="V190" i="19" s="1"/>
  <c r="N190" i="19"/>
  <c r="W190" i="19" s="1"/>
  <c r="M190" i="19"/>
  <c r="L190" i="19" s="1"/>
  <c r="K190" i="19"/>
  <c r="J190" i="19"/>
  <c r="I190" i="19"/>
  <c r="H190" i="19"/>
  <c r="G190" i="19"/>
  <c r="F190" i="19"/>
  <c r="C190" i="19"/>
  <c r="T189" i="19"/>
  <c r="P189" i="19"/>
  <c r="V189" i="19" s="1"/>
  <c r="N189" i="19"/>
  <c r="W189" i="19" s="1"/>
  <c r="M189" i="19"/>
  <c r="L189" i="19" s="1"/>
  <c r="K189" i="19"/>
  <c r="J189" i="19"/>
  <c r="I189" i="19"/>
  <c r="H189" i="19"/>
  <c r="G189" i="19"/>
  <c r="F189" i="19"/>
  <c r="C189" i="19"/>
  <c r="T188" i="19"/>
  <c r="P188" i="19"/>
  <c r="V188" i="19" s="1"/>
  <c r="N188" i="19"/>
  <c r="W188" i="19" s="1"/>
  <c r="M188" i="19"/>
  <c r="L188" i="19" s="1"/>
  <c r="K188" i="19"/>
  <c r="J188" i="19"/>
  <c r="I188" i="19"/>
  <c r="H188" i="19"/>
  <c r="G188" i="19"/>
  <c r="F188" i="19"/>
  <c r="C188" i="19"/>
  <c r="T187" i="19"/>
  <c r="P187" i="19"/>
  <c r="V187" i="19" s="1"/>
  <c r="N187" i="19"/>
  <c r="W187" i="19" s="1"/>
  <c r="M187" i="19"/>
  <c r="L187" i="19" s="1"/>
  <c r="K187" i="19"/>
  <c r="J187" i="19"/>
  <c r="I187" i="19"/>
  <c r="H187" i="19"/>
  <c r="G187" i="19"/>
  <c r="F187" i="19"/>
  <c r="C187" i="19"/>
  <c r="T186" i="19"/>
  <c r="P186" i="19"/>
  <c r="V186" i="19" s="1"/>
  <c r="N186" i="19"/>
  <c r="M186" i="19"/>
  <c r="L186" i="19" s="1"/>
  <c r="K186" i="19"/>
  <c r="J186" i="19"/>
  <c r="I186" i="19"/>
  <c r="H186" i="19"/>
  <c r="G186" i="19"/>
  <c r="F186" i="19"/>
  <c r="C186" i="19"/>
  <c r="T185" i="19"/>
  <c r="P185" i="19"/>
  <c r="V185" i="19" s="1"/>
  <c r="N185" i="19"/>
  <c r="W185" i="19" s="1"/>
  <c r="M185" i="19"/>
  <c r="L185" i="19" s="1"/>
  <c r="K185" i="19"/>
  <c r="J185" i="19"/>
  <c r="I185" i="19"/>
  <c r="H185" i="19"/>
  <c r="G185" i="19"/>
  <c r="F185" i="19"/>
  <c r="C185" i="19"/>
  <c r="T184" i="19"/>
  <c r="P184" i="19"/>
  <c r="V184" i="19" s="1"/>
  <c r="N184" i="19"/>
  <c r="W184" i="19" s="1"/>
  <c r="M184" i="19"/>
  <c r="L184" i="19" s="1"/>
  <c r="K184" i="19"/>
  <c r="J184" i="19"/>
  <c r="I184" i="19"/>
  <c r="H184" i="19"/>
  <c r="G184" i="19"/>
  <c r="F184" i="19"/>
  <c r="C184" i="19"/>
  <c r="T183" i="19"/>
  <c r="P183" i="19"/>
  <c r="V183" i="19" s="1"/>
  <c r="N183" i="19"/>
  <c r="W183" i="19" s="1"/>
  <c r="M183" i="19"/>
  <c r="L183" i="19" s="1"/>
  <c r="K183" i="19"/>
  <c r="J183" i="19"/>
  <c r="I183" i="19"/>
  <c r="H183" i="19"/>
  <c r="G183" i="19"/>
  <c r="F183" i="19"/>
  <c r="C183" i="19"/>
  <c r="V179" i="19"/>
  <c r="W179" i="19"/>
  <c r="L179" i="19"/>
  <c r="I179" i="19"/>
  <c r="H179" i="19"/>
  <c r="V178" i="19"/>
  <c r="W178" i="19"/>
  <c r="L178" i="19"/>
  <c r="I178" i="19"/>
  <c r="H178" i="19"/>
  <c r="V177" i="19"/>
  <c r="W177" i="19"/>
  <c r="L177" i="19"/>
  <c r="O177" i="19" s="1"/>
  <c r="I177" i="19"/>
  <c r="H177" i="19"/>
  <c r="V176" i="19"/>
  <c r="W176" i="19"/>
  <c r="L176" i="19"/>
  <c r="I176" i="19"/>
  <c r="H176" i="19"/>
  <c r="V175" i="19"/>
  <c r="W175" i="19"/>
  <c r="L175" i="19"/>
  <c r="I175" i="19"/>
  <c r="H175" i="19"/>
  <c r="V174" i="19"/>
  <c r="W174" i="19"/>
  <c r="L174" i="19"/>
  <c r="I174" i="19"/>
  <c r="H174" i="19"/>
  <c r="V173" i="19"/>
  <c r="L173" i="19"/>
  <c r="I173" i="19"/>
  <c r="H173" i="19"/>
  <c r="V172" i="19"/>
  <c r="W172" i="19"/>
  <c r="L172" i="19"/>
  <c r="I172" i="19"/>
  <c r="H172" i="19"/>
  <c r="V171" i="19"/>
  <c r="L171" i="19"/>
  <c r="I171" i="19"/>
  <c r="H171" i="19"/>
  <c r="V170" i="19"/>
  <c r="W170" i="19"/>
  <c r="L170" i="19"/>
  <c r="I170" i="19"/>
  <c r="H170" i="19"/>
  <c r="V169" i="19"/>
  <c r="W169" i="19"/>
  <c r="L169" i="19"/>
  <c r="I169" i="19"/>
  <c r="H169" i="19"/>
  <c r="V168" i="19"/>
  <c r="W168" i="19"/>
  <c r="L168" i="19"/>
  <c r="I168" i="19"/>
  <c r="H168" i="19"/>
  <c r="W167" i="19"/>
  <c r="V167" i="19"/>
  <c r="L167" i="19"/>
  <c r="I167" i="19"/>
  <c r="H167" i="19"/>
  <c r="V166" i="19"/>
  <c r="W166" i="19"/>
  <c r="L166" i="19"/>
  <c r="I166" i="19"/>
  <c r="H166" i="19"/>
  <c r="V165" i="19"/>
  <c r="W165" i="19"/>
  <c r="L165" i="19"/>
  <c r="I165" i="19"/>
  <c r="H165" i="19"/>
  <c r="V164" i="19"/>
  <c r="W164" i="19"/>
  <c r="L164" i="19"/>
  <c r="I164" i="19"/>
  <c r="H164" i="19"/>
  <c r="V163" i="19"/>
  <c r="W163" i="19"/>
  <c r="L163" i="19"/>
  <c r="I163" i="19"/>
  <c r="H163" i="19"/>
  <c r="V162" i="19"/>
  <c r="L162" i="19"/>
  <c r="I162" i="19"/>
  <c r="H162" i="19"/>
  <c r="V161" i="19"/>
  <c r="L161" i="19"/>
  <c r="I161" i="19"/>
  <c r="H161" i="19"/>
  <c r="V160" i="19"/>
  <c r="W160" i="19"/>
  <c r="L160" i="19"/>
  <c r="I160" i="19"/>
  <c r="H160" i="19"/>
  <c r="V159" i="19"/>
  <c r="W159" i="19"/>
  <c r="L159" i="19"/>
  <c r="I159" i="19"/>
  <c r="H159" i="19"/>
  <c r="V158" i="19"/>
  <c r="W158" i="19"/>
  <c r="L158" i="19"/>
  <c r="I158" i="19"/>
  <c r="H158" i="19"/>
  <c r="V157" i="19"/>
  <c r="W157" i="19"/>
  <c r="L157" i="19"/>
  <c r="I157" i="19"/>
  <c r="H157" i="19"/>
  <c r="V156" i="19"/>
  <c r="W156" i="19"/>
  <c r="L156" i="19"/>
  <c r="I156" i="19"/>
  <c r="H156" i="19"/>
  <c r="V155" i="19"/>
  <c r="W155" i="19"/>
  <c r="L155" i="19"/>
  <c r="I155" i="19"/>
  <c r="H155" i="19"/>
  <c r="V154" i="19"/>
  <c r="W154" i="19"/>
  <c r="L154" i="19"/>
  <c r="I154" i="19"/>
  <c r="H154" i="19"/>
  <c r="V153" i="19"/>
  <c r="W153" i="19"/>
  <c r="L153" i="19"/>
  <c r="I153" i="19"/>
  <c r="H153" i="19"/>
  <c r="V152" i="19"/>
  <c r="W152" i="19"/>
  <c r="L152" i="19"/>
  <c r="I152" i="19"/>
  <c r="H152" i="19"/>
  <c r="V151" i="19"/>
  <c r="W151" i="19"/>
  <c r="L151" i="19"/>
  <c r="I151" i="19"/>
  <c r="H151" i="19"/>
  <c r="V150" i="19"/>
  <c r="L150" i="19"/>
  <c r="I150" i="19"/>
  <c r="H150" i="19"/>
  <c r="V149" i="19"/>
  <c r="W149" i="19"/>
  <c r="L149" i="19"/>
  <c r="I149" i="19"/>
  <c r="H149" i="19"/>
  <c r="V148" i="19"/>
  <c r="W148" i="19"/>
  <c r="L148" i="19"/>
  <c r="I148" i="19"/>
  <c r="H148" i="19"/>
  <c r="V147" i="19"/>
  <c r="W147" i="19"/>
  <c r="L147" i="19"/>
  <c r="I147" i="19"/>
  <c r="H147" i="19"/>
  <c r="V146" i="19"/>
  <c r="L146" i="19"/>
  <c r="I146" i="19"/>
  <c r="H146" i="19"/>
  <c r="W145" i="19"/>
  <c r="V145" i="19"/>
  <c r="L145" i="19"/>
  <c r="I145" i="19"/>
  <c r="H145" i="19"/>
  <c r="V144" i="19"/>
  <c r="L144" i="19"/>
  <c r="I144" i="19"/>
  <c r="H144" i="19"/>
  <c r="W143" i="19"/>
  <c r="V143" i="19"/>
  <c r="L143" i="19"/>
  <c r="I143" i="19"/>
  <c r="H143" i="19"/>
  <c r="W142" i="19"/>
  <c r="V142" i="19"/>
  <c r="L142" i="19"/>
  <c r="I142" i="19"/>
  <c r="H142" i="19"/>
  <c r="V141" i="19"/>
  <c r="W141" i="19"/>
  <c r="L141" i="19"/>
  <c r="I141" i="19"/>
  <c r="H141" i="19"/>
  <c r="V140" i="19"/>
  <c r="W140" i="19"/>
  <c r="L140" i="19"/>
  <c r="I140" i="19"/>
  <c r="H140" i="19"/>
  <c r="V139" i="19"/>
  <c r="W139" i="19"/>
  <c r="L139" i="19"/>
  <c r="I139" i="19"/>
  <c r="H139" i="19"/>
  <c r="V138" i="19"/>
  <c r="W138" i="19"/>
  <c r="L138" i="19"/>
  <c r="I138" i="19"/>
  <c r="H138" i="19"/>
  <c r="V137" i="19"/>
  <c r="L137" i="19"/>
  <c r="I137" i="19"/>
  <c r="H137" i="19"/>
  <c r="V136" i="19"/>
  <c r="L136" i="19"/>
  <c r="I136" i="19"/>
  <c r="H136" i="19"/>
  <c r="V135" i="19"/>
  <c r="W135" i="19"/>
  <c r="L135" i="19"/>
  <c r="I135" i="19"/>
  <c r="H135" i="19"/>
  <c r="V134" i="19"/>
  <c r="W134" i="19"/>
  <c r="L134" i="19"/>
  <c r="I134" i="19"/>
  <c r="H134" i="19"/>
  <c r="V133" i="19"/>
  <c r="L133" i="19"/>
  <c r="I133" i="19"/>
  <c r="H133" i="19"/>
  <c r="V132" i="19"/>
  <c r="W132" i="19"/>
  <c r="L132" i="19"/>
  <c r="I132" i="19"/>
  <c r="H132" i="19"/>
  <c r="V131" i="19"/>
  <c r="L131" i="19"/>
  <c r="I131" i="19"/>
  <c r="H131" i="19"/>
  <c r="V130" i="19"/>
  <c r="L130" i="19"/>
  <c r="I130" i="19"/>
  <c r="H130" i="19"/>
  <c r="V129" i="19"/>
  <c r="W129" i="19"/>
  <c r="L129" i="19"/>
  <c r="O129" i="19" s="1"/>
  <c r="I129" i="19"/>
  <c r="H129" i="19"/>
  <c r="V128" i="19"/>
  <c r="W128" i="19"/>
  <c r="L128" i="19"/>
  <c r="I128" i="19"/>
  <c r="H128" i="19"/>
  <c r="V127" i="19"/>
  <c r="L127" i="19"/>
  <c r="I127" i="19"/>
  <c r="H127" i="19"/>
  <c r="V126" i="19"/>
  <c r="W126" i="19"/>
  <c r="L126" i="19"/>
  <c r="O126" i="19" s="1"/>
  <c r="I126" i="19"/>
  <c r="H126" i="19"/>
  <c r="V125" i="19"/>
  <c r="W125" i="19"/>
  <c r="L125" i="19"/>
  <c r="I125" i="19"/>
  <c r="H125" i="19"/>
  <c r="W124" i="19"/>
  <c r="V124" i="19"/>
  <c r="L124" i="19"/>
  <c r="I124" i="19"/>
  <c r="H124" i="19"/>
  <c r="V123" i="19"/>
  <c r="W123" i="19"/>
  <c r="L123" i="19"/>
  <c r="I123" i="19"/>
  <c r="H123" i="19"/>
  <c r="V122" i="19"/>
  <c r="W122" i="19"/>
  <c r="L122" i="19"/>
  <c r="I122" i="19"/>
  <c r="H122" i="19"/>
  <c r="V121" i="19"/>
  <c r="W121" i="19"/>
  <c r="L121" i="19"/>
  <c r="I121" i="19"/>
  <c r="H121" i="19"/>
  <c r="V120" i="19"/>
  <c r="L120" i="19"/>
  <c r="I120" i="19"/>
  <c r="H120" i="19"/>
  <c r="V119" i="19"/>
  <c r="W119" i="19"/>
  <c r="L119" i="19"/>
  <c r="I119" i="19"/>
  <c r="H119" i="19"/>
  <c r="V118" i="19"/>
  <c r="L118" i="19"/>
  <c r="I118" i="19"/>
  <c r="H118" i="19"/>
  <c r="V117" i="19"/>
  <c r="W117" i="19"/>
  <c r="L117" i="19"/>
  <c r="I117" i="19"/>
  <c r="H117" i="19"/>
  <c r="V116" i="19"/>
  <c r="W116" i="19"/>
  <c r="L116" i="19"/>
  <c r="I116" i="19"/>
  <c r="H116" i="19"/>
  <c r="V115" i="19"/>
  <c r="W115" i="19"/>
  <c r="L115" i="19"/>
  <c r="I115" i="19"/>
  <c r="H115" i="19"/>
  <c r="V114" i="19"/>
  <c r="W114" i="19"/>
  <c r="L114" i="19"/>
  <c r="I114" i="19"/>
  <c r="H114" i="19"/>
  <c r="V113" i="19"/>
  <c r="W113" i="19"/>
  <c r="L113" i="19"/>
  <c r="I113" i="19"/>
  <c r="H113" i="19"/>
  <c r="V112" i="19"/>
  <c r="W112" i="19"/>
  <c r="L112" i="19"/>
  <c r="I112" i="19"/>
  <c r="H112" i="19"/>
  <c r="V111" i="19"/>
  <c r="L111" i="19"/>
  <c r="I111" i="19"/>
  <c r="H111" i="19"/>
  <c r="V110" i="19"/>
  <c r="W110" i="19"/>
  <c r="L110" i="19"/>
  <c r="I110" i="19"/>
  <c r="H110" i="19"/>
  <c r="V109" i="19"/>
  <c r="L109" i="19"/>
  <c r="I109" i="19"/>
  <c r="H109" i="19"/>
  <c r="V108" i="19"/>
  <c r="W108" i="19"/>
  <c r="L108" i="19"/>
  <c r="I108" i="19"/>
  <c r="H108" i="19"/>
  <c r="V107" i="19"/>
  <c r="W107" i="19"/>
  <c r="L107" i="19"/>
  <c r="I107" i="19"/>
  <c r="H107" i="19"/>
  <c r="V106" i="19"/>
  <c r="W106" i="19"/>
  <c r="L106" i="19"/>
  <c r="I106" i="19"/>
  <c r="H106" i="19"/>
  <c r="V105" i="19"/>
  <c r="W105" i="19"/>
  <c r="L105" i="19"/>
  <c r="I105" i="19"/>
  <c r="H105" i="19"/>
  <c r="V104" i="19"/>
  <c r="W104" i="19"/>
  <c r="L104" i="19"/>
  <c r="I104" i="19"/>
  <c r="H104" i="19"/>
  <c r="V103" i="19"/>
  <c r="W103" i="19"/>
  <c r="L103" i="19"/>
  <c r="I103" i="19"/>
  <c r="H103" i="19"/>
  <c r="V102" i="19"/>
  <c r="L102" i="19"/>
  <c r="I102" i="19"/>
  <c r="H102" i="19"/>
  <c r="V101" i="19"/>
  <c r="W101" i="19"/>
  <c r="L101" i="19"/>
  <c r="I101" i="19"/>
  <c r="H101" i="19"/>
  <c r="V100" i="19"/>
  <c r="L100" i="19"/>
  <c r="I100" i="19"/>
  <c r="H100" i="19"/>
  <c r="V99" i="19"/>
  <c r="W99" i="19"/>
  <c r="L99" i="19"/>
  <c r="I99" i="19"/>
  <c r="H99" i="19"/>
  <c r="V98" i="19"/>
  <c r="W98" i="19"/>
  <c r="L98" i="19"/>
  <c r="I98" i="19"/>
  <c r="H98" i="19"/>
  <c r="V97" i="19"/>
  <c r="W97" i="19"/>
  <c r="L97" i="19"/>
  <c r="I97" i="19"/>
  <c r="H97" i="19"/>
  <c r="V96" i="19"/>
  <c r="W96" i="19"/>
  <c r="L96" i="19"/>
  <c r="I96" i="19"/>
  <c r="H96" i="19"/>
  <c r="V95" i="19"/>
  <c r="W95" i="19"/>
  <c r="L95" i="19"/>
  <c r="I95" i="19"/>
  <c r="H95" i="19"/>
  <c r="V94" i="19"/>
  <c r="W94" i="19"/>
  <c r="L94" i="19"/>
  <c r="I94" i="19"/>
  <c r="H94" i="19"/>
  <c r="V93" i="19"/>
  <c r="L93" i="19"/>
  <c r="I93" i="19"/>
  <c r="H93" i="19"/>
  <c r="V92" i="19"/>
  <c r="W92" i="19"/>
  <c r="L92" i="19"/>
  <c r="I92" i="19"/>
  <c r="H92" i="19"/>
  <c r="V91" i="19"/>
  <c r="L91" i="19"/>
  <c r="I91" i="19"/>
  <c r="H91" i="19"/>
  <c r="V90" i="19"/>
  <c r="W90" i="19"/>
  <c r="L90" i="19"/>
  <c r="I90" i="19"/>
  <c r="H90" i="19"/>
  <c r="V89" i="19"/>
  <c r="W89" i="19"/>
  <c r="L89" i="19"/>
  <c r="I89" i="19"/>
  <c r="H89" i="19"/>
  <c r="V88" i="19"/>
  <c r="W88" i="19"/>
  <c r="L88" i="19"/>
  <c r="I88" i="19"/>
  <c r="H88" i="19"/>
  <c r="V87" i="19"/>
  <c r="W87" i="19"/>
  <c r="L87" i="19"/>
  <c r="I87" i="19"/>
  <c r="H87" i="19"/>
  <c r="V86" i="19"/>
  <c r="W86" i="19"/>
  <c r="L86" i="19"/>
  <c r="I86" i="19"/>
  <c r="H86" i="19"/>
  <c r="V85" i="19"/>
  <c r="W85" i="19"/>
  <c r="L85" i="19"/>
  <c r="I85" i="19"/>
  <c r="H85" i="19"/>
  <c r="V84" i="19"/>
  <c r="W84" i="19"/>
  <c r="L84" i="19"/>
  <c r="I84" i="19"/>
  <c r="H84" i="19"/>
  <c r="V83" i="19"/>
  <c r="W83" i="19"/>
  <c r="L83" i="19"/>
  <c r="I83" i="19"/>
  <c r="H83" i="19"/>
  <c r="V82" i="19"/>
  <c r="L82" i="19"/>
  <c r="I82" i="19"/>
  <c r="H82" i="19"/>
  <c r="V81" i="19"/>
  <c r="W81" i="19"/>
  <c r="L81" i="19"/>
  <c r="O81" i="19" s="1"/>
  <c r="I81" i="19"/>
  <c r="H81" i="19"/>
  <c r="V80" i="19"/>
  <c r="W80" i="19"/>
  <c r="L80" i="19"/>
  <c r="I80" i="19"/>
  <c r="H80" i="19"/>
  <c r="V79" i="19"/>
  <c r="W79" i="19"/>
  <c r="L79" i="19"/>
  <c r="I79" i="19"/>
  <c r="H79" i="19"/>
  <c r="V78" i="19"/>
  <c r="W78" i="19"/>
  <c r="L78" i="19"/>
  <c r="I78" i="19"/>
  <c r="H78" i="19"/>
  <c r="V77" i="19"/>
  <c r="W77" i="19"/>
  <c r="L77" i="19"/>
  <c r="I77" i="19"/>
  <c r="H77" i="19"/>
  <c r="V76" i="19"/>
  <c r="L76" i="19"/>
  <c r="I76" i="19"/>
  <c r="H76" i="19"/>
  <c r="V75" i="19"/>
  <c r="W75" i="19"/>
  <c r="L75" i="19"/>
  <c r="I75" i="19"/>
  <c r="H75" i="19"/>
  <c r="V74" i="19"/>
  <c r="W74" i="19"/>
  <c r="L74" i="19"/>
  <c r="I74" i="19"/>
  <c r="H74" i="19"/>
  <c r="V73" i="19"/>
  <c r="W73" i="19"/>
  <c r="L73" i="19"/>
  <c r="I73" i="19"/>
  <c r="H73" i="19"/>
  <c r="V72" i="19"/>
  <c r="W72" i="19"/>
  <c r="L72" i="19"/>
  <c r="O72" i="19" s="1"/>
  <c r="I72" i="19"/>
  <c r="H72" i="19"/>
  <c r="V71" i="19"/>
  <c r="W71" i="19"/>
  <c r="L71" i="19"/>
  <c r="I71" i="19"/>
  <c r="H71" i="19"/>
  <c r="V70" i="19"/>
  <c r="W70" i="19"/>
  <c r="L70" i="19"/>
  <c r="I70" i="19"/>
  <c r="H70" i="19"/>
  <c r="V69" i="19"/>
  <c r="W69" i="19"/>
  <c r="L69" i="19"/>
  <c r="O69" i="19" s="1"/>
  <c r="I69" i="19"/>
  <c r="H69" i="19"/>
  <c r="V68" i="19"/>
  <c r="W68" i="19"/>
  <c r="L68" i="19"/>
  <c r="I68" i="19"/>
  <c r="H68" i="19"/>
  <c r="V67" i="19"/>
  <c r="W67" i="19"/>
  <c r="L67" i="19"/>
  <c r="I67" i="19"/>
  <c r="H67" i="19"/>
  <c r="V66" i="19"/>
  <c r="W66" i="19"/>
  <c r="L66" i="19"/>
  <c r="O66" i="19" s="1"/>
  <c r="I66" i="19"/>
  <c r="H66" i="19"/>
  <c r="V65" i="19"/>
  <c r="W65" i="19"/>
  <c r="L65" i="19"/>
  <c r="I65" i="19"/>
  <c r="H65" i="19"/>
  <c r="V64" i="19"/>
  <c r="W64" i="19"/>
  <c r="L64" i="19"/>
  <c r="I64" i="19"/>
  <c r="H64" i="19"/>
  <c r="V63" i="19"/>
  <c r="W63" i="19"/>
  <c r="L63" i="19"/>
  <c r="I63" i="19"/>
  <c r="H63" i="19"/>
  <c r="V62" i="19"/>
  <c r="W62" i="19"/>
  <c r="L62" i="19"/>
  <c r="I62" i="19"/>
  <c r="H62" i="19"/>
  <c r="V61" i="19"/>
  <c r="W61" i="19"/>
  <c r="L61" i="19"/>
  <c r="I61" i="19"/>
  <c r="H61" i="19"/>
  <c r="V60" i="19"/>
  <c r="W60" i="19"/>
  <c r="L60" i="19"/>
  <c r="I60" i="19"/>
  <c r="H60" i="19"/>
  <c r="V59" i="19"/>
  <c r="W59" i="19"/>
  <c r="L59" i="19"/>
  <c r="I59" i="19"/>
  <c r="H59" i="19"/>
  <c r="V58" i="19"/>
  <c r="L58" i="19"/>
  <c r="I58" i="19"/>
  <c r="H58" i="19"/>
  <c r="V57" i="19"/>
  <c r="W57" i="19"/>
  <c r="L57" i="19"/>
  <c r="O57" i="19" s="1"/>
  <c r="I57" i="19"/>
  <c r="H57" i="19"/>
  <c r="V56" i="19"/>
  <c r="W56" i="19"/>
  <c r="L56" i="19"/>
  <c r="I56" i="19"/>
  <c r="H56" i="19"/>
  <c r="V55" i="19"/>
  <c r="W55" i="19"/>
  <c r="L55" i="19"/>
  <c r="I55" i="19"/>
  <c r="H55" i="19"/>
  <c r="V54" i="19"/>
  <c r="W54" i="19"/>
  <c r="L54" i="19"/>
  <c r="O54" i="19" s="1"/>
  <c r="I54" i="19"/>
  <c r="H54" i="19"/>
  <c r="V53" i="19"/>
  <c r="W53" i="19"/>
  <c r="L53" i="19"/>
  <c r="I53" i="19"/>
  <c r="H53" i="19"/>
  <c r="V52" i="19"/>
  <c r="W52" i="19"/>
  <c r="L52" i="19"/>
  <c r="I52" i="19"/>
  <c r="H52" i="19"/>
  <c r="V51" i="19"/>
  <c r="W51" i="19"/>
  <c r="L51" i="19"/>
  <c r="O51" i="19" s="1"/>
  <c r="I51" i="19"/>
  <c r="H51" i="19"/>
  <c r="V50" i="19"/>
  <c r="W50" i="19"/>
  <c r="L50" i="19"/>
  <c r="I50" i="19"/>
  <c r="H50" i="19"/>
  <c r="V49" i="19"/>
  <c r="W49" i="19"/>
  <c r="L49" i="19"/>
  <c r="I49" i="19"/>
  <c r="H49" i="19"/>
  <c r="V48" i="19"/>
  <c r="W48" i="19"/>
  <c r="L48" i="19"/>
  <c r="O48" i="19" s="1"/>
  <c r="I48" i="19"/>
  <c r="H48" i="19"/>
  <c r="V47" i="19"/>
  <c r="W47" i="19"/>
  <c r="L47" i="19"/>
  <c r="I47" i="19"/>
  <c r="H47" i="19"/>
  <c r="V46" i="19"/>
  <c r="L46" i="19"/>
  <c r="I46" i="19"/>
  <c r="H46" i="19"/>
  <c r="V45" i="19"/>
  <c r="W45" i="19"/>
  <c r="L45" i="19"/>
  <c r="I45" i="19"/>
  <c r="H45" i="19"/>
  <c r="V44" i="19"/>
  <c r="L44" i="19"/>
  <c r="I44" i="19"/>
  <c r="H44" i="19"/>
  <c r="V43" i="19"/>
  <c r="W43" i="19"/>
  <c r="L43" i="19"/>
  <c r="I43" i="19"/>
  <c r="H43" i="19"/>
  <c r="V42" i="19"/>
  <c r="W42" i="19"/>
  <c r="L42" i="19"/>
  <c r="I42" i="19"/>
  <c r="H42" i="19"/>
  <c r="V41" i="19"/>
  <c r="W41" i="19"/>
  <c r="L41" i="19"/>
  <c r="I41" i="19"/>
  <c r="H41" i="19"/>
  <c r="V40" i="19"/>
  <c r="W40" i="19"/>
  <c r="L40" i="19"/>
  <c r="I40" i="19"/>
  <c r="H40" i="19"/>
  <c r="V39" i="19"/>
  <c r="W39" i="19"/>
  <c r="L39" i="19"/>
  <c r="I39" i="19"/>
  <c r="H39" i="19"/>
  <c r="V38" i="19"/>
  <c r="W38" i="19"/>
  <c r="L38" i="19"/>
  <c r="I38" i="19"/>
  <c r="H38" i="19"/>
  <c r="V37" i="19"/>
  <c r="W37" i="19"/>
  <c r="L37" i="19"/>
  <c r="I37" i="19"/>
  <c r="H37" i="19"/>
  <c r="V36" i="19"/>
  <c r="W36" i="19"/>
  <c r="L36" i="19"/>
  <c r="O36" i="19" s="1"/>
  <c r="I36" i="19"/>
  <c r="H36" i="19"/>
  <c r="V35" i="19"/>
  <c r="W35" i="19"/>
  <c r="L35" i="19"/>
  <c r="I35" i="19"/>
  <c r="H35" i="19"/>
  <c r="V34" i="19"/>
  <c r="L34" i="19"/>
  <c r="I34" i="19"/>
  <c r="H34" i="19"/>
  <c r="V33" i="19"/>
  <c r="W33" i="19"/>
  <c r="L33" i="19"/>
  <c r="I33" i="19"/>
  <c r="H33" i="19"/>
  <c r="V32" i="19"/>
  <c r="L32" i="19"/>
  <c r="I32" i="19"/>
  <c r="H32" i="19"/>
  <c r="V31" i="19"/>
  <c r="W31" i="19"/>
  <c r="L31" i="19"/>
  <c r="I31" i="19"/>
  <c r="H31" i="19"/>
  <c r="V30" i="19"/>
  <c r="W30" i="19"/>
  <c r="L30" i="19"/>
  <c r="O30" i="19" s="1"/>
  <c r="I30" i="19"/>
  <c r="H30" i="19"/>
  <c r="V29" i="19"/>
  <c r="W29" i="19"/>
  <c r="L29" i="19"/>
  <c r="I29" i="19"/>
  <c r="H29" i="19"/>
  <c r="V28" i="19"/>
  <c r="W28" i="19"/>
  <c r="L28" i="19"/>
  <c r="I28" i="19"/>
  <c r="H28" i="19"/>
  <c r="V27" i="19"/>
  <c r="W27" i="19"/>
  <c r="L27" i="19"/>
  <c r="O27" i="19" s="1"/>
  <c r="I27" i="19"/>
  <c r="H27" i="19"/>
  <c r="V26" i="19"/>
  <c r="W26" i="19"/>
  <c r="L26" i="19"/>
  <c r="I26" i="19"/>
  <c r="H26" i="19"/>
  <c r="V25" i="19"/>
  <c r="W25" i="19"/>
  <c r="L25" i="19"/>
  <c r="I25" i="19"/>
  <c r="H25" i="19"/>
  <c r="V24" i="19"/>
  <c r="W24" i="19"/>
  <c r="L24" i="19"/>
  <c r="O24" i="19" s="1"/>
  <c r="I24" i="19"/>
  <c r="H24" i="19"/>
  <c r="V23" i="19"/>
  <c r="W23" i="19"/>
  <c r="L23" i="19"/>
  <c r="I23" i="19"/>
  <c r="H23" i="19"/>
  <c r="V22" i="19"/>
  <c r="L22" i="19"/>
  <c r="I22" i="19"/>
  <c r="H22" i="19"/>
  <c r="V21" i="19"/>
  <c r="W21" i="19"/>
  <c r="L21" i="19"/>
  <c r="I21" i="19"/>
  <c r="H21" i="19"/>
  <c r="V20" i="19"/>
  <c r="W20" i="19"/>
  <c r="L20" i="19"/>
  <c r="I20" i="19"/>
  <c r="H20" i="19"/>
  <c r="V19" i="19"/>
  <c r="W19" i="19"/>
  <c r="L19" i="19"/>
  <c r="I19" i="19"/>
  <c r="H19" i="19"/>
  <c r="V18" i="19"/>
  <c r="W18" i="19"/>
  <c r="L18" i="19"/>
  <c r="O18" i="19" s="1"/>
  <c r="I18" i="19"/>
  <c r="H18" i="19"/>
  <c r="V17" i="19"/>
  <c r="W17" i="19"/>
  <c r="L17" i="19"/>
  <c r="I17" i="19"/>
  <c r="H17" i="19"/>
  <c r="V16" i="19"/>
  <c r="W16" i="19"/>
  <c r="L16" i="19"/>
  <c r="I16" i="19"/>
  <c r="H16" i="19"/>
  <c r="V15" i="19"/>
  <c r="W15" i="19"/>
  <c r="L15" i="19"/>
  <c r="O15" i="19" s="1"/>
  <c r="I15" i="19"/>
  <c r="H15" i="19"/>
  <c r="V14" i="19"/>
  <c r="W14" i="19"/>
  <c r="L14" i="19"/>
  <c r="I14" i="19"/>
  <c r="H14" i="19"/>
  <c r="V13" i="19"/>
  <c r="W13" i="19"/>
  <c r="L13" i="19"/>
  <c r="I13" i="19"/>
  <c r="H13" i="19"/>
  <c r="V12" i="19"/>
  <c r="W12" i="19"/>
  <c r="L12" i="19"/>
  <c r="I12" i="19"/>
  <c r="H12" i="19"/>
  <c r="V11" i="19"/>
  <c r="W11" i="19"/>
  <c r="L11" i="19"/>
  <c r="I11" i="19"/>
  <c r="H11" i="19"/>
  <c r="V10" i="19"/>
  <c r="W10" i="19"/>
  <c r="L10" i="19"/>
  <c r="I10" i="19"/>
  <c r="H10" i="19"/>
  <c r="V9" i="19"/>
  <c r="W9" i="19"/>
  <c r="L9" i="19"/>
  <c r="O9" i="19" s="1"/>
  <c r="I9" i="19"/>
  <c r="H9" i="19"/>
  <c r="V8" i="19"/>
  <c r="L8" i="19"/>
  <c r="I8" i="19"/>
  <c r="H8" i="19"/>
  <c r="V7" i="19"/>
  <c r="W7" i="19"/>
  <c r="L7" i="19"/>
  <c r="I7" i="19"/>
  <c r="H7" i="19"/>
  <c r="V6" i="19"/>
  <c r="W6" i="19"/>
  <c r="L6" i="19"/>
  <c r="O6" i="19" s="1"/>
  <c r="I6" i="19"/>
  <c r="H6" i="19"/>
  <c r="W5" i="19"/>
  <c r="L5" i="19"/>
  <c r="I5" i="19"/>
  <c r="H5" i="19"/>
  <c r="T129" i="19" l="1"/>
  <c r="T16" i="19"/>
  <c r="T53" i="19"/>
  <c r="T70" i="19"/>
  <c r="T138" i="19"/>
  <c r="T148" i="19"/>
  <c r="T153" i="19"/>
  <c r="T163" i="19"/>
  <c r="T74" i="19"/>
  <c r="T43" i="19"/>
  <c r="T62" i="19"/>
  <c r="T94" i="19"/>
  <c r="T119" i="19"/>
  <c r="T157" i="19"/>
  <c r="T172" i="19"/>
  <c r="T177" i="19"/>
  <c r="T79" i="19"/>
  <c r="T104" i="19"/>
  <c r="T114" i="19"/>
  <c r="T57" i="19"/>
  <c r="T84" i="19"/>
  <c r="T66" i="19"/>
  <c r="T88" i="19"/>
  <c r="T98" i="19"/>
  <c r="T108" i="19"/>
  <c r="T54" i="19"/>
  <c r="T59" i="19"/>
  <c r="T121" i="19"/>
  <c r="T139" i="19"/>
  <c r="T149" i="19"/>
  <c r="T154" i="19"/>
  <c r="T164" i="19"/>
  <c r="T174" i="19"/>
  <c r="T29" i="19"/>
  <c r="T7" i="19"/>
  <c r="T12" i="19"/>
  <c r="T39" i="19"/>
  <c r="T112" i="19"/>
  <c r="T122" i="19"/>
  <c r="T140" i="19"/>
  <c r="T155" i="19"/>
  <c r="T165" i="19"/>
  <c r="T175" i="19"/>
  <c r="T49" i="19"/>
  <c r="T71" i="19"/>
  <c r="T55" i="19"/>
  <c r="T143" i="19"/>
  <c r="T159" i="19"/>
  <c r="T169" i="19"/>
  <c r="T179" i="19"/>
  <c r="T23" i="19"/>
  <c r="T72" i="19"/>
  <c r="T35" i="19"/>
  <c r="T18" i="19"/>
  <c r="T60" i="19"/>
  <c r="T77" i="19"/>
  <c r="T36" i="19"/>
  <c r="T80" i="19"/>
  <c r="T95" i="19"/>
  <c r="T115" i="19"/>
  <c r="T168" i="19"/>
  <c r="T31" i="19"/>
  <c r="T68" i="19"/>
  <c r="T90" i="19"/>
  <c r="T151" i="19"/>
  <c r="T19" i="19"/>
  <c r="T24" i="19"/>
  <c r="T56" i="19"/>
  <c r="T61" i="19"/>
  <c r="T73" i="19"/>
  <c r="T78" i="19"/>
  <c r="T83" i="19"/>
  <c r="T103" i="19"/>
  <c r="T113" i="19"/>
  <c r="T123" i="19"/>
  <c r="T128" i="19"/>
  <c r="T141" i="19"/>
  <c r="T156" i="19"/>
  <c r="T166" i="19"/>
  <c r="T176" i="19"/>
  <c r="T105" i="19"/>
  <c r="T125" i="19"/>
  <c r="T158" i="19"/>
  <c r="T41" i="19"/>
  <c r="T21" i="19"/>
  <c r="T134" i="19"/>
  <c r="T42" i="19"/>
  <c r="T52" i="19"/>
  <c r="T69" i="19"/>
  <c r="T124" i="19"/>
  <c r="T142" i="19"/>
  <c r="T147" i="19"/>
  <c r="T152" i="19"/>
  <c r="T167" i="19"/>
  <c r="T10" i="19"/>
  <c r="T27" i="19"/>
  <c r="T9" i="19"/>
  <c r="T26" i="19"/>
  <c r="T85" i="19"/>
  <c r="T110" i="19"/>
  <c r="T37" i="19"/>
  <c r="T64" i="19"/>
  <c r="T101" i="19"/>
  <c r="T106" i="19"/>
  <c r="T116" i="19"/>
  <c r="T126" i="19"/>
  <c r="T20" i="19"/>
  <c r="T25" i="19"/>
  <c r="T13" i="19"/>
  <c r="T30" i="19"/>
  <c r="T40" i="19"/>
  <c r="T45" i="19"/>
  <c r="T50" i="19"/>
  <c r="T67" i="19"/>
  <c r="T89" i="19"/>
  <c r="T99" i="19"/>
  <c r="T132" i="19"/>
  <c r="T145" i="19"/>
  <c r="T75" i="19"/>
  <c r="T86" i="19"/>
  <c r="T15" i="19"/>
  <c r="T63" i="19"/>
  <c r="T178" i="19"/>
  <c r="T14" i="19"/>
  <c r="T51" i="19"/>
  <c r="T17" i="19"/>
  <c r="T47" i="19"/>
  <c r="T81" i="19"/>
  <c r="T96" i="19"/>
  <c r="T6" i="19"/>
  <c r="T11" i="19"/>
  <c r="T28" i="19"/>
  <c r="T33" i="19"/>
  <c r="T38" i="19"/>
  <c r="T48" i="19"/>
  <c r="T65" i="19"/>
  <c r="T87" i="19"/>
  <c r="T92" i="19"/>
  <c r="T97" i="19"/>
  <c r="T107" i="19"/>
  <c r="T117" i="19"/>
  <c r="T135" i="19"/>
  <c r="T160" i="19"/>
  <c r="T170" i="19"/>
  <c r="X27" i="19"/>
  <c r="T239" i="19"/>
  <c r="R239" i="19"/>
  <c r="S239" i="19"/>
  <c r="X62" i="19"/>
  <c r="X17" i="19"/>
  <c r="X121" i="19"/>
  <c r="X124" i="19"/>
  <c r="X159" i="19"/>
  <c r="X125" i="19"/>
  <c r="X52" i="19"/>
  <c r="X81" i="19"/>
  <c r="O12" i="19"/>
  <c r="X30" i="19"/>
  <c r="O47" i="19"/>
  <c r="X65" i="19"/>
  <c r="O117" i="19"/>
  <c r="X164" i="19"/>
  <c r="L208" i="19"/>
  <c r="O208" i="19" s="1"/>
  <c r="O213" i="19"/>
  <c r="X174" i="19"/>
  <c r="X138" i="19"/>
  <c r="L202" i="19"/>
  <c r="L203" i="19"/>
  <c r="L204" i="19"/>
  <c r="O204" i="19" s="1"/>
  <c r="O205" i="19"/>
  <c r="X49" i="19"/>
  <c r="X196" i="19"/>
  <c r="X194" i="19"/>
  <c r="X80" i="19"/>
  <c r="X56" i="19"/>
  <c r="O83" i="19"/>
  <c r="O39" i="19"/>
  <c r="X83" i="19"/>
  <c r="O161" i="19"/>
  <c r="O95" i="19"/>
  <c r="O140" i="19"/>
  <c r="O176" i="19"/>
  <c r="X94" i="19"/>
  <c r="X176" i="19"/>
  <c r="X192" i="19"/>
  <c r="O215" i="19"/>
  <c r="X106" i="19"/>
  <c r="O185" i="19"/>
  <c r="X132" i="19"/>
  <c r="X86" i="19"/>
  <c r="O41" i="19"/>
  <c r="X42" i="19"/>
  <c r="O98" i="19"/>
  <c r="X99" i="19"/>
  <c r="X41" i="19"/>
  <c r="X98" i="19"/>
  <c r="X29" i="19"/>
  <c r="O31" i="19"/>
  <c r="X35" i="19"/>
  <c r="X26" i="19"/>
  <c r="X31" i="19"/>
  <c r="X71" i="19"/>
  <c r="X18" i="19"/>
  <c r="X63" i="19"/>
  <c r="X15" i="19"/>
  <c r="X14" i="19"/>
  <c r="O49" i="19"/>
  <c r="O42" i="19"/>
  <c r="O56" i="19"/>
  <c r="X57" i="19"/>
  <c r="O58" i="19"/>
  <c r="O99" i="19"/>
  <c r="O159" i="19"/>
  <c r="X167" i="19"/>
  <c r="O221" i="19"/>
  <c r="X143" i="19"/>
  <c r="O158" i="19"/>
  <c r="O189" i="19"/>
  <c r="O199" i="19"/>
  <c r="O152" i="19"/>
  <c r="X189" i="19"/>
  <c r="X198" i="19"/>
  <c r="W161" i="19"/>
  <c r="X161" i="19" s="1"/>
  <c r="X187" i="19"/>
  <c r="X153" i="19"/>
  <c r="X155" i="19"/>
  <c r="O179" i="19"/>
  <c r="X185" i="19"/>
  <c r="O216" i="19"/>
  <c r="O217" i="19"/>
  <c r="O63" i="19"/>
  <c r="O90" i="19"/>
  <c r="O149" i="19"/>
  <c r="O86" i="19"/>
  <c r="O173" i="19"/>
  <c r="O80" i="19"/>
  <c r="O211" i="19"/>
  <c r="X88" i="19"/>
  <c r="O104" i="19"/>
  <c r="O110" i="19"/>
  <c r="O143" i="19"/>
  <c r="O146" i="19"/>
  <c r="X175" i="19"/>
  <c r="O202" i="19"/>
  <c r="X103" i="19"/>
  <c r="O138" i="19"/>
  <c r="X141" i="19"/>
  <c r="X145" i="19"/>
  <c r="W173" i="19"/>
  <c r="X173" i="19" s="1"/>
  <c r="X179" i="19"/>
  <c r="X163" i="19"/>
  <c r="X200" i="19"/>
  <c r="X97" i="19"/>
  <c r="X188" i="19"/>
  <c r="X66" i="19"/>
  <c r="X115" i="19"/>
  <c r="X149" i="19"/>
  <c r="X45" i="19"/>
  <c r="X158" i="19"/>
  <c r="X33" i="19"/>
  <c r="X157" i="19"/>
  <c r="X148" i="19"/>
  <c r="X140" i="19"/>
  <c r="X170" i="19"/>
  <c r="X6" i="19"/>
  <c r="O164" i="19"/>
  <c r="X177" i="19"/>
  <c r="O10" i="19"/>
  <c r="X12" i="19"/>
  <c r="X38" i="19"/>
  <c r="W58" i="19"/>
  <c r="X58" i="19" s="1"/>
  <c r="O67" i="19"/>
  <c r="X89" i="19"/>
  <c r="O154" i="19"/>
  <c r="O155" i="19"/>
  <c r="O165" i="19"/>
  <c r="O166" i="19"/>
  <c r="O167" i="19"/>
  <c r="W199" i="19"/>
  <c r="X199" i="19" s="1"/>
  <c r="O5" i="19"/>
  <c r="X197" i="19"/>
  <c r="O200" i="19"/>
  <c r="X9" i="19"/>
  <c r="X39" i="19"/>
  <c r="X90" i="19"/>
  <c r="X95" i="19"/>
  <c r="O212" i="19"/>
  <c r="X10" i="19"/>
  <c r="O13" i="19"/>
  <c r="X13" i="19"/>
  <c r="O21" i="19"/>
  <c r="O45" i="19"/>
  <c r="X69" i="19"/>
  <c r="X72" i="19"/>
  <c r="O73" i="19"/>
  <c r="O75" i="19"/>
  <c r="O78" i="19"/>
  <c r="X104" i="19"/>
  <c r="O108" i="19"/>
  <c r="O113" i="19"/>
  <c r="W146" i="19"/>
  <c r="X146" i="19" s="1"/>
  <c r="O153" i="19"/>
  <c r="O170" i="19"/>
  <c r="O188" i="19"/>
  <c r="X75" i="19"/>
  <c r="O107" i="19"/>
  <c r="X108" i="19"/>
  <c r="X113" i="19"/>
  <c r="O122" i="19"/>
  <c r="O132" i="19"/>
  <c r="O135" i="19"/>
  <c r="O137" i="19"/>
  <c r="O141" i="19"/>
  <c r="O156" i="19"/>
  <c r="X168" i="19"/>
  <c r="O191" i="19"/>
  <c r="O228" i="19"/>
  <c r="O46" i="19"/>
  <c r="X107" i="19"/>
  <c r="X134" i="19"/>
  <c r="X156" i="19"/>
  <c r="X85" i="19"/>
  <c r="X40" i="19"/>
  <c r="X78" i="19"/>
  <c r="X20" i="19"/>
  <c r="X74" i="19"/>
  <c r="O23" i="19"/>
  <c r="X112" i="19"/>
  <c r="X122" i="19"/>
  <c r="X128" i="19"/>
  <c r="X135" i="19"/>
  <c r="X139" i="19"/>
  <c r="O197" i="19"/>
  <c r="X59" i="19"/>
  <c r="X21" i="19"/>
  <c r="O74" i="19"/>
  <c r="X77" i="19"/>
  <c r="X23" i="19"/>
  <c r="O52" i="19"/>
  <c r="O116" i="19"/>
  <c r="X117" i="19"/>
  <c r="X129" i="19"/>
  <c r="X60" i="19"/>
  <c r="X152" i="19"/>
  <c r="X19" i="19"/>
  <c r="X67" i="19"/>
  <c r="X48" i="19"/>
  <c r="X24" i="19"/>
  <c r="O25" i="19"/>
  <c r="X51" i="19"/>
  <c r="O33" i="19"/>
  <c r="W46" i="19"/>
  <c r="X46" i="19" s="1"/>
  <c r="X50" i="19"/>
  <c r="X54" i="19"/>
  <c r="O60" i="19"/>
  <c r="X116" i="19"/>
  <c r="O125" i="19"/>
  <c r="X126" i="19"/>
  <c r="O174" i="19"/>
  <c r="O218" i="19"/>
  <c r="W34" i="19"/>
  <c r="X34" i="19" s="1"/>
  <c r="O34" i="19"/>
  <c r="O118" i="19"/>
  <c r="W118" i="19"/>
  <c r="X118" i="19" s="1"/>
  <c r="O68" i="19"/>
  <c r="O79" i="19"/>
  <c r="O92" i="19"/>
  <c r="W93" i="19"/>
  <c r="X93" i="19" s="1"/>
  <c r="O93" i="19"/>
  <c r="O119" i="19"/>
  <c r="W120" i="19"/>
  <c r="X120" i="19" s="1"/>
  <c r="O120" i="19"/>
  <c r="X68" i="19"/>
  <c r="O37" i="19"/>
  <c r="X47" i="19"/>
  <c r="W8" i="19"/>
  <c r="X8" i="19" s="1"/>
  <c r="O8" i="19"/>
  <c r="W22" i="19"/>
  <c r="X22" i="19" s="1"/>
  <c r="O22" i="19"/>
  <c r="O53" i="19"/>
  <c r="W76" i="19"/>
  <c r="X76" i="19" s="1"/>
  <c r="O76" i="19"/>
  <c r="X36" i="19"/>
  <c r="X37" i="19"/>
  <c r="O40" i="19"/>
  <c r="X53" i="19"/>
  <c r="X73" i="19"/>
  <c r="X28" i="19"/>
  <c r="W32" i="19"/>
  <c r="X32" i="19" s="1"/>
  <c r="O32" i="19"/>
  <c r="O127" i="19"/>
  <c r="W127" i="19"/>
  <c r="X127" i="19" s="1"/>
  <c r="O130" i="19"/>
  <c r="W130" i="19"/>
  <c r="X130" i="19" s="1"/>
  <c r="O131" i="19"/>
  <c r="W131" i="19"/>
  <c r="X131" i="19" s="1"/>
  <c r="O101" i="19"/>
  <c r="W102" i="19"/>
  <c r="X102" i="19" s="1"/>
  <c r="O102" i="19"/>
  <c r="O128" i="19"/>
  <c r="X16" i="19"/>
  <c r="O11" i="19"/>
  <c r="O61" i="19"/>
  <c r="O16" i="19"/>
  <c r="O19" i="19"/>
  <c r="O100" i="19"/>
  <c r="W100" i="19"/>
  <c r="X100" i="19" s="1"/>
  <c r="X11" i="19"/>
  <c r="O84" i="19"/>
  <c r="X25" i="19"/>
  <c r="O26" i="19"/>
  <c r="W44" i="19"/>
  <c r="X44" i="19" s="1"/>
  <c r="O44" i="19"/>
  <c r="O109" i="19"/>
  <c r="W109" i="19"/>
  <c r="X109" i="19" s="1"/>
  <c r="W111" i="19"/>
  <c r="X111" i="19" s="1"/>
  <c r="O111" i="19"/>
  <c r="X84" i="19"/>
  <c r="O157" i="19"/>
  <c r="O7" i="19"/>
  <c r="O17" i="19"/>
  <c r="O43" i="19"/>
  <c r="O55" i="19"/>
  <c r="O62" i="19"/>
  <c r="X92" i="19"/>
  <c r="X101" i="19"/>
  <c r="X110" i="19"/>
  <c r="X119" i="19"/>
  <c r="O133" i="19"/>
  <c r="W133" i="19"/>
  <c r="X133" i="19" s="1"/>
  <c r="W144" i="19"/>
  <c r="X144" i="19" s="1"/>
  <c r="O144" i="19"/>
  <c r="O169" i="19"/>
  <c r="O28" i="19"/>
  <c r="O38" i="19"/>
  <c r="X61" i="19"/>
  <c r="O70" i="19"/>
  <c r="O77" i="19"/>
  <c r="O134" i="19"/>
  <c r="O168" i="19"/>
  <c r="O147" i="19"/>
  <c r="O148" i="19"/>
  <c r="W171" i="19"/>
  <c r="X171" i="19" s="1"/>
  <c r="O171" i="19"/>
  <c r="O136" i="19"/>
  <c r="W136" i="19"/>
  <c r="X136" i="19" s="1"/>
  <c r="X55" i="19"/>
  <c r="O87" i="19"/>
  <c r="X70" i="19"/>
  <c r="O96" i="19"/>
  <c r="O105" i="19"/>
  <c r="O114" i="19"/>
  <c r="O123" i="19"/>
  <c r="O139" i="19"/>
  <c r="O71" i="19"/>
  <c r="O14" i="19"/>
  <c r="O65" i="19"/>
  <c r="W150" i="19"/>
  <c r="X150" i="19" s="1"/>
  <c r="O150" i="19"/>
  <c r="X160" i="19"/>
  <c r="X43" i="19"/>
  <c r="O29" i="19"/>
  <c r="O50" i="19"/>
  <c r="O35" i="19"/>
  <c r="X64" i="19"/>
  <c r="O82" i="19"/>
  <c r="W82" i="19"/>
  <c r="X82" i="19" s="1"/>
  <c r="X87" i="19"/>
  <c r="W137" i="19"/>
  <c r="X137" i="19" s="1"/>
  <c r="W162" i="19"/>
  <c r="X162" i="19" s="1"/>
  <c r="O162" i="19"/>
  <c r="W186" i="19"/>
  <c r="X186" i="19" s="1"/>
  <c r="O186" i="19"/>
  <c r="X7" i="19"/>
  <c r="O64" i="19"/>
  <c r="O20" i="19"/>
  <c r="O59" i="19"/>
  <c r="X79" i="19"/>
  <c r="O89" i="19"/>
  <c r="O91" i="19"/>
  <c r="W91" i="19"/>
  <c r="X91" i="19" s="1"/>
  <c r="X96" i="19"/>
  <c r="X105" i="19"/>
  <c r="X114" i="19"/>
  <c r="X123" i="19"/>
  <c r="X191" i="19"/>
  <c r="X184" i="19"/>
  <c r="O192" i="19"/>
  <c r="O193" i="19"/>
  <c r="O187" i="19"/>
  <c r="O88" i="19"/>
  <c r="O97" i="19"/>
  <c r="O106" i="19"/>
  <c r="O115" i="19"/>
  <c r="O124" i="19"/>
  <c r="X147" i="19"/>
  <c r="X154" i="19"/>
  <c r="O163" i="19"/>
  <c r="X193" i="19"/>
  <c r="O142" i="19"/>
  <c r="X169" i="19"/>
  <c r="O178" i="19"/>
  <c r="O203" i="19"/>
  <c r="O195" i="19"/>
  <c r="O196" i="19"/>
  <c r="O172" i="19"/>
  <c r="X195" i="19"/>
  <c r="O229" i="19"/>
  <c r="Q239" i="19"/>
  <c r="O85" i="19"/>
  <c r="O94" i="19"/>
  <c r="O103" i="19"/>
  <c r="O112" i="19"/>
  <c r="O121" i="19"/>
  <c r="X142" i="19"/>
  <c r="O151" i="19"/>
  <c r="X178" i="19"/>
  <c r="O190" i="19"/>
  <c r="O209" i="19"/>
  <c r="O210" i="19"/>
  <c r="O226" i="19"/>
  <c r="V5" i="19"/>
  <c r="O145" i="19"/>
  <c r="X165" i="19"/>
  <c r="X172" i="19"/>
  <c r="O183" i="19"/>
  <c r="O184" i="19"/>
  <c r="X205" i="19"/>
  <c r="X206" i="19"/>
  <c r="O214" i="19"/>
  <c r="X151" i="19"/>
  <c r="O160" i="19"/>
  <c r="X183" i="19"/>
  <c r="X190" i="19"/>
  <c r="O220" i="19"/>
  <c r="O222" i="19"/>
  <c r="X166" i="19"/>
  <c r="O175" i="19"/>
  <c r="L201" i="19"/>
  <c r="O201" i="19" s="1"/>
  <c r="L207" i="19"/>
  <c r="O207" i="19" s="1"/>
  <c r="T171" i="19" l="1"/>
  <c r="T100" i="19"/>
  <c r="T82" i="19"/>
  <c r="T130" i="19"/>
  <c r="T58" i="19"/>
  <c r="T8" i="19"/>
  <c r="T118" i="19"/>
  <c r="T109" i="19"/>
  <c r="T146" i="19"/>
  <c r="T150" i="19"/>
  <c r="T127" i="19"/>
  <c r="T133" i="19"/>
  <c r="T173" i="19"/>
  <c r="T102" i="19"/>
  <c r="T46" i="19"/>
  <c r="T93" i="19"/>
  <c r="T91" i="19"/>
  <c r="T162" i="19"/>
  <c r="X5" i="19"/>
  <c r="T5" i="19"/>
  <c r="T144" i="19"/>
  <c r="T161" i="19"/>
  <c r="T22" i="19"/>
  <c r="T32" i="19"/>
  <c r="T76" i="19"/>
  <c r="T111" i="19"/>
  <c r="T131" i="19"/>
  <c r="T120" i="19"/>
  <c r="T137" i="19"/>
  <c r="T44" i="19"/>
  <c r="T136" i="19"/>
  <c r="T34" i="19"/>
  <c r="P240" i="19"/>
  <c r="P239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A2034-229C-4F47-8726-8E6F40F5372F}" keepAlive="1" name="คิวรี - ติดตามสถานะการขนส่งเส้นรอง" description="การเชื่อมต่อกับแบบสอบถาม 'ติดตามสถานะการขนส่งเส้นรอง' ในสมุดงาน" type="5" refreshedVersion="7" background="1" saveData="1">
    <dbPr connection="Provider=Microsoft.Mashup.OleDb.1;Data Source=$Workbook$;Location=ติดตามสถานะการขนส่งเส้นรอง;Extended Properties=&quot;&quot;" command="SELECT * FROM [ติดตามสถานะการขนส่งเส้นรอง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<sst xmlns="http://schemas.openxmlformats.org/spreadsheetml/2006/main" count="129" uniqueCount="99">
  <si>
    <t>2026.05.11</t>
  </si>
  <si>
    <r>
      <rPr>
        <b/>
        <sz val="22"/>
        <color theme="1"/>
        <rFont val="Microsoft YaHei"/>
        <charset val="134"/>
      </rPr>
      <t xml:space="preserve">KKN 转运中心干线到车统计表 
</t>
    </r>
    <r>
      <rPr>
        <b/>
        <sz val="22"/>
        <color theme="1"/>
        <rFont val="Tahoma"/>
        <charset val="134"/>
      </rPr>
      <t>บันทึกข้อมูลรถถึงสายรอง</t>
    </r>
  </si>
  <si>
    <t>序号</t>
  </si>
  <si>
    <t>任务状态</t>
  </si>
  <si>
    <t>任务单</t>
  </si>
  <si>
    <t>路线</t>
  </si>
  <si>
    <t>车辆类型</t>
  </si>
  <si>
    <t>车牌号</t>
  </si>
  <si>
    <t>司机名称</t>
  </si>
  <si>
    <t>供应商</t>
  </si>
  <si>
    <t>计划到车时间</t>
  </si>
  <si>
    <r>
      <rPr>
        <sz val="14"/>
        <rFont val="Microsoft YaHei"/>
        <charset val="134"/>
      </rPr>
      <t xml:space="preserve">实际到车时间
</t>
    </r>
    <r>
      <rPr>
        <sz val="14"/>
        <rFont val="Tahoma"/>
        <charset val="134"/>
      </rPr>
      <t>เวลารถถึง</t>
    </r>
  </si>
  <si>
    <t>เวลาที่ควรลง
(ไม่เกิน2hr.)</t>
  </si>
  <si>
    <t>解车时间</t>
  </si>
  <si>
    <t>卸车开始时间</t>
  </si>
  <si>
    <t>สถานะความผิดปกติ</t>
  </si>
  <si>
    <t>卸车结束时间</t>
  </si>
  <si>
    <t>卸车状态</t>
  </si>
  <si>
    <t>备注</t>
  </si>
  <si>
    <t>สาเหตุ</t>
  </si>
  <si>
    <t>NO.</t>
  </si>
  <si>
    <t>สถานะ</t>
  </si>
  <si>
    <r>
      <rPr>
        <sz val="14"/>
        <rFont val="Tahoma"/>
        <charset val="134"/>
      </rPr>
      <t>เลขมอบหมายงาน</t>
    </r>
  </si>
  <si>
    <r>
      <rPr>
        <sz val="14"/>
        <rFont val="Tahoma"/>
        <charset val="134"/>
      </rPr>
      <t>รอบรถ</t>
    </r>
  </si>
  <si>
    <t>ประเภทรถ</t>
  </si>
  <si>
    <r>
      <rPr>
        <sz val="14"/>
        <rFont val="Tahoma"/>
        <charset val="134"/>
      </rPr>
      <t>ทะเบียน</t>
    </r>
  </si>
  <si>
    <r>
      <rPr>
        <sz val="14"/>
        <rFont val="Tahoma"/>
        <charset val="134"/>
      </rPr>
      <t>ชื่อคนขับ</t>
    </r>
  </si>
  <si>
    <r>
      <rPr>
        <sz val="14"/>
        <rFont val="Tahoma"/>
        <charset val="134"/>
      </rPr>
      <t>ซัพพลายเออร์</t>
    </r>
  </si>
  <si>
    <r>
      <rPr>
        <sz val="14"/>
        <rFont val="Tahoma"/>
        <charset val="134"/>
      </rPr>
      <t>คาดการณ์</t>
    </r>
    <r>
      <rPr>
        <sz val="14"/>
        <rFont val="Microsoft YaHei"/>
        <charset val="134"/>
      </rPr>
      <t xml:space="preserve">
</t>
    </r>
    <r>
      <rPr>
        <sz val="14"/>
        <rFont val="Tahoma"/>
        <charset val="134"/>
      </rPr>
      <t>เวลารถถึง</t>
    </r>
  </si>
  <si>
    <t>เวลาเปิดตู้รถถึง</t>
  </si>
  <si>
    <r>
      <rPr>
        <sz val="14"/>
        <rFont val="Tahoma"/>
        <charset val="134"/>
      </rPr>
      <t>เวลาเริ่มลงพัสดุ</t>
    </r>
  </si>
  <si>
    <r>
      <rPr>
        <sz val="14"/>
        <rFont val="Tahoma"/>
        <charset val="134"/>
      </rPr>
      <t>เวลาสิ้นสุดลงพัสดุ</t>
    </r>
  </si>
  <si>
    <t>สถานะลงของ</t>
  </si>
  <si>
    <r>
      <rPr>
        <sz val="14"/>
        <rFont val="Tahoma"/>
        <charset val="134"/>
      </rPr>
      <t>หมายเหตุ</t>
    </r>
  </si>
  <si>
    <t>正在卸货 กำลังลงพัสดุ</t>
  </si>
  <si>
    <t>在途 รถยังไม่ถึง</t>
  </si>
  <si>
    <r>
      <rPr>
        <b/>
        <sz val="22"/>
        <color theme="1"/>
        <rFont val="Microsoft YaHei"/>
        <charset val="134"/>
      </rPr>
      <t xml:space="preserve">加班车
</t>
    </r>
    <r>
      <rPr>
        <b/>
        <sz val="22"/>
        <color theme="1"/>
        <rFont val="Tahoma"/>
        <charset val="134"/>
      </rPr>
      <t>รถเสริม</t>
    </r>
  </si>
  <si>
    <t>เวลามาถึงโดยประมาณ</t>
  </si>
  <si>
    <t>เกินระยะเวลาลงงาน</t>
  </si>
  <si>
    <t>ถึงปลายทาง</t>
  </si>
  <si>
    <t>จำนวนรอบรถทั้งหมดที่ลงแล้ว/ยังไม่ได้ลง/กำลังลง/รถยังไม่ถึง</t>
  </si>
  <si>
    <t>รวม</t>
  </si>
  <si>
    <t>สถานะการทำงาน</t>
  </si>
  <si>
    <t>หมายเลขทะเบียนรถ</t>
  </si>
  <si>
    <t>ทะเบียนรถ/จังหวัด</t>
  </si>
  <si>
    <t>ชื่อคนขับรถ</t>
  </si>
  <si>
    <t>รหัสสาขาต้นทาง</t>
  </si>
  <si>
    <t>เวลาที่คาดว่าจะปล่อยรถ</t>
  </si>
  <si>
    <t>เวลารอปล่อยรถ</t>
  </si>
  <si>
    <t>เวลาปล่อยรถตามจริง</t>
  </si>
  <si>
    <t>ปล่อยรถล่าช้า</t>
  </si>
  <si>
    <t>รหัสสาขาปลายทาง</t>
  </si>
  <si>
    <t>เวลาที่คาดว่ารถจะถึง</t>
  </si>
  <si>
    <t>เวลาที่ถึงจริง</t>
  </si>
  <si>
    <t>รถถึงเลท</t>
  </si>
  <si>
    <t>运行是否晚点</t>
  </si>
  <si>
    <t>1.รถถึงสายรอง วิธีดึง</t>
  </si>
  <si>
    <t>2.ส่งออกข้อมูล</t>
  </si>
  <si>
    <t>ประเภทงาน</t>
  </si>
  <si>
    <t>ชื่อใบสั่งงาน</t>
  </si>
  <si>
    <t>卸完货 ลงพัสดุเสร็จ</t>
  </si>
  <si>
    <r>
      <t xml:space="preserve">等卸货 </t>
    </r>
    <r>
      <rPr>
        <sz val="16"/>
        <rFont val="Tahoma"/>
        <family val="2"/>
      </rPr>
      <t>รอลงพัสดุ</t>
    </r>
  </si>
  <si>
    <t>หมายเลขใบงาน</t>
  </si>
  <si>
    <t>กะการทำงาน</t>
  </si>
  <si>
    <t>ชื่อ DP ที่ปล่อยรถ</t>
  </si>
  <si>
    <t>เวลาเริ่มการโหลดบรรจุขึ้นรถ</t>
  </si>
  <si>
    <t>เวลาสิ้นสุดในการโหลดบรรจุขึ้นรถ</t>
  </si>
  <si>
    <t>เวลาปิดรถ</t>
  </si>
  <si>
    <t>ชื่อDPที่รถมาถึง</t>
  </si>
  <si>
    <t>ชื่อเต็มซัพพลายเออร์</t>
  </si>
  <si>
    <t>เวลาคัดแยกรถ</t>
  </si>
  <si>
    <t>ระยะเวลาเริ่มงานที่ใช้ขนย้ายลงรถ</t>
  </si>
  <si>
    <t>ระยะเวลาจบงานที่ใช้ขนย้ายลงรถ</t>
  </si>
  <si>
    <t>ระยะทางไมล์</t>
  </si>
  <si>
    <t>ชื่อสถานที่ของเส้นทาง</t>
  </si>
  <si>
    <t>ชื่อสถานที่ของเส้นทางที่อ้างอิง</t>
  </si>
  <si>
    <t>发车场地名称</t>
  </si>
  <si>
    <t>到车场地名称</t>
  </si>
  <si>
    <t>ประเภทเส้นทาง</t>
  </si>
  <si>
    <t>ทะเบียนรถพ่วง/จังหวัด</t>
  </si>
  <si>
    <t>เบอร์โทร</t>
  </si>
  <si>
    <t>แฟรนไชส์ปล่อยรถ</t>
  </si>
  <si>
    <t>RGMปล่อยรถ</t>
  </si>
  <si>
    <t>จังหวัดต้นทาง</t>
  </si>
  <si>
    <t>ระยะเวลาขนถ่ายขึ้นรถ(min）</t>
  </si>
  <si>
    <t>装车是否超过20H</t>
  </si>
  <si>
    <t>เวลารับสินค้า</t>
  </si>
  <si>
    <t>ระยะเวลาปล่อยรถล่าช้า</t>
  </si>
  <si>
    <t>เวลานำส่งขนถ่ายขึ้นรถ</t>
  </si>
  <si>
    <t>เวลาเช็คเอาต์คนขับ</t>
  </si>
  <si>
    <t>แฟรนไชส์รถถึง</t>
  </si>
  <si>
    <t>RGMรถถึง</t>
  </si>
  <si>
    <t>จังหวัดที่รถมาถึง</t>
  </si>
  <si>
    <t>ระยะเวลาล่าช้า(นาที)</t>
  </si>
  <si>
    <t>เวลาขนส่งล่าช้า(ชม.)</t>
  </si>
  <si>
    <t>เวลาเข้างานของคนขับ</t>
  </si>
  <si>
    <t>รายะเวลาเข้าแถวขนถ่ายลงรถ(min）</t>
  </si>
  <si>
    <t>ระยะเวลาขนถ่ายลงรถ(min）</t>
  </si>
  <si>
    <t>ระยะเวลาลงงาน (นาที)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</si>
</sst>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h:mm:ss;@"/>
    <numFmt numFmtId="188" formatCode="[$-1000000]h:mm:ss;@"/>
  </numFmts>
  <fonts count="29">
    <font>
      <sz val="11"/>
      <color theme="1"/>
      <name val="Tahoma"/>
      <charset val="222"/>
      <scheme val="minor"/>
    </font>
    <font>
      <b/>
      <sz val="18"/>
      <color theme="1"/>
      <name val="Tahoma"/>
      <charset val="222"/>
      <scheme val="minor"/>
    </font>
    <font>
      <b/>
      <sz val="11"/>
      <color theme="1"/>
      <name val="Tahoma"/>
      <charset val="222"/>
      <scheme val="minor"/>
    </font>
    <font>
      <b/>
      <sz val="14"/>
      <name val="Tahoma"/>
      <charset val="134"/>
    </font>
    <font>
      <b/>
      <sz val="22"/>
      <color theme="1"/>
      <name val="Microsoft YaHei"/>
      <charset val="134"/>
    </font>
    <font>
      <sz val="16"/>
      <name val="Microsoft YaHei"/>
      <charset val="134"/>
    </font>
    <font>
      <sz val="14"/>
      <name val="Microsoft YaHei"/>
      <charset val="134"/>
    </font>
    <font>
      <sz val="16"/>
      <name val="Tahoma"/>
      <charset val="134"/>
    </font>
    <font>
      <sz val="14"/>
      <name val="Tahoma"/>
      <charset val="134"/>
    </font>
    <font>
      <sz val="14"/>
      <color rgb="FF000000"/>
      <name val="Microsoft YaHei"/>
      <charset val="134"/>
    </font>
    <font>
      <sz val="14"/>
      <name val="Microsoft Yahei"/>
      <charset val="134"/>
    </font>
    <font>
      <sz val="14"/>
      <color theme="1"/>
      <name val="Microsoft YaHei"/>
      <charset val="222"/>
    </font>
    <font>
      <sz val="14"/>
      <color rgb="FFFF0000"/>
      <name val="Microsoft YaHei"/>
      <charset val="222"/>
    </font>
    <font>
      <sz val="14"/>
      <color rgb="FF00B050"/>
      <name val="Microsoft YaHei"/>
      <charset val="134"/>
    </font>
    <font>
      <sz val="14"/>
      <color rgb="FFFF0000"/>
      <name val="Tahoma"/>
      <charset val="134"/>
    </font>
    <font>
      <sz val="14"/>
      <color indexed="8"/>
      <name val="Tahoma"/>
      <charset val="134"/>
      <scheme val="minor"/>
    </font>
    <font>
      <b/>
      <sz val="16"/>
      <color rgb="FF002060"/>
      <name val="Tahoma"/>
      <charset val="222"/>
    </font>
    <font>
      <b/>
      <sz val="14"/>
      <color rgb="FF002060"/>
      <name val="Microsoft YaHei"/>
      <charset val="222"/>
    </font>
    <font>
      <b/>
      <sz val="14"/>
      <color rgb="FF00B050"/>
      <name val="Microsoft YaHei"/>
      <charset val="134"/>
    </font>
    <font>
      <b/>
      <sz val="14"/>
      <color rgb="FFFF0000"/>
      <name val="Microsoft YaHei"/>
      <charset val="134"/>
    </font>
    <font>
      <b/>
      <sz val="14"/>
      <name val="Microsoft YaHei"/>
      <charset val="134"/>
    </font>
    <font>
      <b/>
      <sz val="16"/>
      <color rgb="FFFF0000"/>
      <name val="Tahoma"/>
      <charset val="222"/>
    </font>
    <font>
      <b/>
      <sz val="14"/>
      <color rgb="FF002060"/>
      <name val="Tahoma"/>
      <charset val="222"/>
    </font>
    <font>
      <sz val="16"/>
      <color theme="1"/>
      <name val="Microsoft YaHei"/>
      <charset val="222"/>
    </font>
    <font>
      <b/>
      <sz val="22"/>
      <color theme="1"/>
      <name val="Tahoma"/>
      <charset val="134"/>
    </font>
    <font>
      <sz val="16"/>
      <name val="Microsoft YaHei"/>
      <family val="2"/>
    </font>
    <font>
      <sz val="16"/>
      <name val="Tahoma"/>
      <family val="2"/>
    </font>
    <font>
      <sz val="14"/>
      <name val="Microsoft YaHei"/>
      <family val="2"/>
    </font>
    <font>
      <sz val="8"/>
      <name val="Tahoma"/>
      <charset val="22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rgb="FF003366"/>
      </patternFill>
    </fill>
    <fill>
      <patternFill patternType="solid">
        <fgColor theme="0" tint="-4.9989318521683403E-2"/>
        <bgColor rgb="FF003366"/>
      </patternFill>
    </fill>
    <fill>
      <patternFill patternType="solid">
        <fgColor rgb="FFFFFF00"/>
        <bgColor rgb="FF003366"/>
      </patternFill>
    </fill>
    <fill>
      <patternFill patternType="solid">
        <fgColor rgb="FFFFC000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0" fillId="0" borderId="0" xfId="0" applyNumberFormat="1"/>
    <xf numFmtId="187" fontId="0" fillId="0" borderId="0" xfId="0" applyNumberFormat="1"/>
    <xf numFmtId="0" fontId="4" fillId="2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87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187" fontId="6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88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21" fontId="11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0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8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87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6" borderId="2" xfId="0" applyNumberFormat="1" applyFont="1" applyFill="1" applyBorder="1" applyAlignment="1">
      <alignment horizontal="center" vertical="center"/>
    </xf>
    <xf numFmtId="188" fontId="11" fillId="0" borderId="0" xfId="0" applyNumberFormat="1" applyFont="1" applyFill="1" applyAlignment="1">
      <alignment horizontal="center" vertical="center"/>
    </xf>
    <xf numFmtId="0" fontId="9" fillId="6" borderId="3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88" fontId="11" fillId="0" borderId="3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187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0" fillId="7" borderId="2" xfId="0" applyNumberFormat="1" applyFill="1" applyBorder="1" applyAlignment="1">
      <alignment horizontal="center"/>
    </xf>
    <xf numFmtId="0" fontId="0" fillId="7" borderId="3" xfId="0" applyNumberFormat="1" applyFill="1" applyBorder="1" applyAlignment="1">
      <alignment horizontal="center"/>
    </xf>
    <xf numFmtId="0" fontId="0" fillId="7" borderId="4" xfId="0" applyNumberFormat="1" applyFill="1" applyBorder="1" applyAlignment="1">
      <alignment horizontal="center"/>
    </xf>
    <xf numFmtId="0" fontId="1" fillId="7" borderId="2" xfId="0" applyNumberFormat="1" applyFont="1" applyFill="1" applyBorder="1" applyAlignment="1">
      <alignment horizontal="center" vertical="center"/>
    </xf>
    <xf numFmtId="0" fontId="1" fillId="7" borderId="3" xfId="0" applyNumberFormat="1" applyFont="1" applyFill="1" applyBorder="1" applyAlignment="1">
      <alignment horizontal="center" vertical="center"/>
    </xf>
    <xf numFmtId="0" fontId="1" fillId="7" borderId="4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5" borderId="6" xfId="0" applyNumberFormat="1" applyFont="1" applyFill="1" applyBorder="1" applyAlignment="1">
      <alignment horizontal="center" vertical="center" wrapText="1"/>
    </xf>
    <xf numFmtId="0" fontId="7" fillId="5" borderId="8" xfId="0" applyNumberFormat="1" applyFont="1" applyFill="1" applyBorder="1" applyAlignment="1">
      <alignment horizontal="center" vertical="center" wrapText="1"/>
    </xf>
  </cellXfs>
  <cellStyles count="1">
    <cellStyle name="ปกติ" xfId="0" builtinId="0"/>
  </cellStyles>
  <dxfs count="2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89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</dxfs>
  <tableStyles count="0" defaultTableStyle="TableStyleMedium2" defaultPivotStyle="PivotStyleLight16"/>
  <colors>
    <mruColors>
      <color rgb="FFF15E76"/>
      <color rgb="FF9BB785"/>
      <color rgb="FFF1C5BA"/>
      <color rgb="FFAC0000"/>
      <color rgb="FFA20000"/>
      <color rgb="FFFFE5E5"/>
      <color rgb="FF00000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154940</xdr:colOff>
      <xdr:row>3</xdr:row>
      <xdr:rowOff>17145</xdr:rowOff>
    </xdr:from>
    <xdr:to>
      <xdr:col>14</xdr:col>
      <xdr:colOff>384175</xdr:colOff>
      <xdr:row>24</xdr:row>
      <xdr:rowOff>123190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9380" y="680085"/>
          <a:ext cx="7635875" cy="394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82550</xdr:colOff>
      <xdr:row>26</xdr:row>
      <xdr:rowOff>31750</xdr:rowOff>
    </xdr:from>
    <xdr:to>
      <xdr:col>14</xdr:col>
      <xdr:colOff>387350</xdr:colOff>
      <xdr:row>47</xdr:row>
      <xdr:rowOff>175260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6990" y="5015230"/>
          <a:ext cx="7711440" cy="3983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1A6B3EBC-375B-405E-9F4E-A01A67FCAA2C}" autoFormatId="16" applyNumberFormats="0" applyBorderFormats="0" applyFontFormats="0" applyPatternFormats="0" applyAlignmentFormats="0" applyWidthHeightFormats="0">
  <queryTableRefresh nextId="141">
    <queryTableFields count="53">
      <queryTableField id="62" name="หมายเลขใบงาน" tableColumnId="3"/>
      <queryTableField id="1" name="สถานะการทำงาน" tableColumnId="1"/>
      <queryTableField id="4" name="ชื่อใบสั่งงาน" tableColumnId="4"/>
      <queryTableField id="90" name="ชื่อสถานที่ของเส้นทาง" tableColumnId="17"/>
      <queryTableField id="91" name="ชื่อสถานที่ของเส้นทางที่อ้างอิง" tableColumnId="18"/>
      <queryTableField id="92" name="发车场地名称" tableColumnId="19"/>
      <queryTableField id="93" name="到车场地名称" tableColumnId="22"/>
      <queryTableField id="2" name="ประเภทงาน" tableColumnId="2"/>
      <queryTableField id="94" name="ประเภทเส้นทาง" tableColumnId="24"/>
      <queryTableField id="63" name="กะการทำงาน" tableColumnId="5"/>
      <queryTableField id="74" name="ระยะทางไมล์" tableColumnId="16"/>
      <queryTableField id="40" name="หมายเลขทะเบียนรถ" tableColumnId="40"/>
      <queryTableField id="41" name="ทะเบียนรถ/จังหวัด" tableColumnId="41"/>
      <queryTableField id="95" name="ทะเบียนรถพ่วง/จังหวัด" tableColumnId="26"/>
      <queryTableField id="73" name="ประเภทรถ" tableColumnId="15"/>
      <queryTableField id="69" name="ชื่อเต็มซัพพลายเออร์" tableColumnId="11"/>
      <queryTableField id="46" name="ชื่อคนขับรถ" tableColumnId="46"/>
      <queryTableField id="96" name="เบอร์โทร" tableColumnId="27"/>
      <queryTableField id="53" name="รหัสสาขาต้นทาง" tableColumnId="53"/>
      <queryTableField id="64" name="ชื่อ DP ที่ปล่อยรถ" tableColumnId="6"/>
      <queryTableField id="97" name="แฟรนไชส์ปล่อยรถ" tableColumnId="28"/>
      <queryTableField id="98" name="RGMปล่อยรถ" tableColumnId="30"/>
      <queryTableField id="99" name="จังหวัดต้นทาง" tableColumnId="32"/>
      <queryTableField id="65" name="เวลาเริ่มการโหลดบรรจุขึ้นรถ" tableColumnId="7"/>
      <queryTableField id="66" name="เวลาสิ้นสุดในการโหลดบรรจุขึ้นรถ" tableColumnId="8"/>
      <queryTableField id="100" name="ระยะเวลาขนถ่ายขึ้นรถ(min）" tableColumnId="34"/>
      <queryTableField id="101" name="装车是否超过20H" tableColumnId="36"/>
      <queryTableField id="67" name="เวลาปิดรถ" tableColumnId="9"/>
      <queryTableField id="20" name="เวลาที่คาดว่าจะปล่อยรถ" tableColumnId="20"/>
      <queryTableField id="21" name="เวลารอปล่อยรถ" tableColumnId="21"/>
      <queryTableField id="102" name="เวลารับสินค้า" tableColumnId="37"/>
      <queryTableField id="23" name="เวลาปล่อยรถตามจริง" tableColumnId="23"/>
      <queryTableField id="103" name="ระยะเวลาปล่อยรถล่าช้า" tableColumnId="38"/>
      <queryTableField id="25" name="ปล่อยรถล่าช้า" tableColumnId="25"/>
      <queryTableField id="104" name="เวลานำส่งขนถ่ายขึ้นรถ" tableColumnId="39"/>
      <queryTableField id="105" name="เวลาเช็คเอาต์คนขับ" tableColumnId="42"/>
      <queryTableField id="56" name="รหัสสาขาปลายทาง" tableColumnId="56"/>
      <queryTableField id="68" name="ชื่อDPที่รถมาถึง" tableColumnId="10"/>
      <queryTableField id="106" name="แฟรนไชส์รถถึง" tableColumnId="43"/>
      <queryTableField id="107" name="RGMรถถึง" tableColumnId="44"/>
      <queryTableField id="108" name="จังหวัดที่รถมาถึง" tableColumnId="45"/>
      <queryTableField id="29" name="เวลาที่คาดว่ารถจะถึง" tableColumnId="29"/>
      <queryTableField id="31" name="เวลาที่ถึงจริง" tableColumnId="31"/>
      <queryTableField id="109" name="ระยะเวลาล่าช้า(นาที)" tableColumnId="47"/>
      <queryTableField id="33" name="รถถึงเลท" tableColumnId="33"/>
      <queryTableField id="110" name="เวลาขนส่งล่าช้า(ชม.)" tableColumnId="48"/>
      <queryTableField id="35" name="运行是否晚点" tableColumnId="35"/>
      <queryTableField id="111" name="เวลาเข้างานของคนขับ" tableColumnId="49"/>
      <queryTableField id="70" name="เวลาคัดแยกรถ" tableColumnId="12"/>
      <queryTableField id="112" name="รายะเวลาเข้าแถวขนถ่ายลงรถ(min）" tableColumnId="50"/>
      <queryTableField id="71" name="ระยะเวลาเริ่มงานที่ใช้ขนย้ายลงรถ" tableColumnId="13"/>
      <queryTableField id="72" name="ระยะเวลาจบงานที่ใช้ขนย้ายลงรถ" tableColumnId="14"/>
      <queryTableField id="113" name="ระยะเวลาขนถ่ายลงรถ(min）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576C0-465D-4746-B78A-E72D7B42A7F7}" name="ต_ดตามสถานะการขนส_งเส_นรอง" displayName="ต_ดตามสถานะการขนส_งเส_นรอง" ref="A1:BA2" tableType="queryTable" insertRow="1" totalsRowShown="0">
  <autoFilter ref="A1:BA2" xr:uid="{E43576C0-465D-4746-B78A-E72D7B42A7F7}"/>
  <tableColumns count="53">
    <tableColumn id="3" xr3:uid="{00B2ED4D-985D-4430-8BE3-8BA8AFF18794}" uniqueName="3" name="หมายเลขใบงาน" queryTableFieldId="62" dataDxfId="28"/>
    <tableColumn id="1" xr3:uid="{BD8DB34E-0BD5-4E7B-B2EE-42BC06017146}" uniqueName="1" name="สถานะการทำงาน" queryTableFieldId="1" dataDxfId="27"/>
    <tableColumn id="4" xr3:uid="{E92C4C43-AAB5-4C53-9C58-17948444A0B9}" uniqueName="4" name="ชื่อใบสั่งงาน" queryTableFieldId="4" dataDxfId="26"/>
    <tableColumn id="17" xr3:uid="{6D1158DC-2915-483C-83B6-92825E640741}" uniqueName="17" name="ชื่อสถานที่ของเส้นทาง" queryTableFieldId="90"/>
    <tableColumn id="18" xr3:uid="{AC89D72E-0D35-43C2-ACDB-CB434A2746AD}" uniqueName="18" name="ชื่อสถานที่ของเส้นทางที่อ้างอิง" queryTableFieldId="91"/>
    <tableColumn id="19" xr3:uid="{62BBBFE0-1E22-4E5A-B9B8-A77F7CEF2C67}" uniqueName="19" name="发车场地名称" queryTableFieldId="92"/>
    <tableColumn id="22" xr3:uid="{C7BEF6A0-A73F-419C-ADEA-0EB1259D82C5}" uniqueName="22" name="到车场地名称" queryTableFieldId="93"/>
    <tableColumn id="2" xr3:uid="{DF766AE8-BA4B-47B6-AAA7-670B31541714}" uniqueName="2" name="ประเภทงาน" queryTableFieldId="2" dataDxfId="25"/>
    <tableColumn id="24" xr3:uid="{5B5C81FB-E40A-4287-8217-AAABDE1C1093}" uniqueName="24" name="ประเภทเส้นทาง" queryTableFieldId="94"/>
    <tableColumn id="5" xr3:uid="{FC17EB75-271B-488B-A8FC-601BB9B48102}" uniqueName="5" name="กะการทำงาน" queryTableFieldId="63" dataDxfId="24"/>
    <tableColumn id="16" xr3:uid="{52C2CF47-41E0-4B1E-A829-B084B02BA2FE}" uniqueName="16" name="ระยะทางไมล์" queryTableFieldId="74" dataDxfId="23"/>
    <tableColumn id="40" xr3:uid="{8019E14C-7D53-4352-B6A7-2AB94303AB89}" uniqueName="40" name="หมายเลขทะเบียนรถ" queryTableFieldId="40" dataDxfId="22"/>
    <tableColumn id="41" xr3:uid="{D867F300-F6C3-494C-B241-A2D0A09D8049}" uniqueName="41" name="ทะเบียนรถ/จังหวัด" queryTableFieldId="41" dataDxfId="21"/>
    <tableColumn id="26" xr3:uid="{C0DFB671-2CE9-4CCB-9FD1-B4E26E30DFAA}" uniqueName="26" name="ทะเบียนรถพ่วง/จังหวัด" queryTableFieldId="95"/>
    <tableColumn id="15" xr3:uid="{2FAEDEAA-3FC2-45E0-8217-9E9986876A65}" uniqueName="15" name="ประเภทรถ" queryTableFieldId="73" dataDxfId="20"/>
    <tableColumn id="11" xr3:uid="{7F9D4CD2-AC46-40B2-A7ED-B560C431FB0F}" uniqueName="11" name="ชื่อเต็มซัพพลายเออร์" queryTableFieldId="69" dataDxfId="19"/>
    <tableColumn id="46" xr3:uid="{95E8BF33-59C1-41D2-981C-ABD076FFD959}" uniqueName="46" name="ชื่อคนขับรถ" queryTableFieldId="46" dataDxfId="18"/>
    <tableColumn id="27" xr3:uid="{716F93AF-A7A6-461A-AEE8-E3F564DB9ABE}" uniqueName="27" name="เบอร์โทร" queryTableFieldId="96"/>
    <tableColumn id="53" xr3:uid="{6C752B36-3E67-469E-AC30-479349BC81D5}" uniqueName="53" name="รหัสสาขาต้นทาง" queryTableFieldId="53" dataDxfId="17"/>
    <tableColumn id="6" xr3:uid="{E6359D35-A56B-40B7-B253-9D1045DCC6BD}" uniqueName="6" name="ชื่อ DP ที่ปล่อยรถ" queryTableFieldId="64" dataDxfId="16"/>
    <tableColumn id="28" xr3:uid="{E82C2D9E-40D4-42C8-A106-4AA0FAE7D804}" uniqueName="28" name="แฟรนไชส์ปล่อยรถ" queryTableFieldId="97"/>
    <tableColumn id="30" xr3:uid="{21F5D398-3705-42F4-A879-C7091648A581}" uniqueName="30" name="RGMปล่อยรถ" queryTableFieldId="98"/>
    <tableColumn id="32" xr3:uid="{A5725789-4A42-43D2-BBFC-1023DD4E1084}" uniqueName="32" name="จังหวัดต้นทาง" queryTableFieldId="99"/>
    <tableColumn id="7" xr3:uid="{07DE6D8F-B0D4-4D05-B553-35DDD327D550}" uniqueName="7" name="เวลาเริ่มการโหลดบรรจุขึ้นรถ" queryTableFieldId="65" dataDxfId="15"/>
    <tableColumn id="8" xr3:uid="{5170AE60-8603-4CE6-B67A-2010011EB983}" uniqueName="8" name="เวลาสิ้นสุดในการโหลดบรรจุขึ้นรถ" queryTableFieldId="66" dataDxfId="14"/>
    <tableColumn id="34" xr3:uid="{9B28B7F3-737A-480D-A778-F4A2C3D8193B}" uniqueName="34" name="ระยะเวลาขนถ่ายขึ้นรถ(min）" queryTableFieldId="100"/>
    <tableColumn id="36" xr3:uid="{77501832-C0B1-47E2-A19F-24A2884BF7EA}" uniqueName="36" name="装车是否超过20H" queryTableFieldId="101"/>
    <tableColumn id="9" xr3:uid="{27C8EE21-C573-4470-BF15-56A1BA974337}" uniqueName="9" name="เวลาปิดรถ" queryTableFieldId="67" dataDxfId="13"/>
    <tableColumn id="20" xr3:uid="{56BF38AF-66B6-4E8D-84D0-5733DE17AA52}" uniqueName="20" name="เวลาที่คาดว่าจะปล่อยรถ" queryTableFieldId="20" dataDxfId="12"/>
    <tableColumn id="21" xr3:uid="{F84DFD7B-33D7-425F-B84C-7846C1BA2F1D}" uniqueName="21" name="เวลารอปล่อยรถ" queryTableFieldId="21" dataDxfId="11"/>
    <tableColumn id="37" xr3:uid="{ADEA50D8-7DDC-468B-AEA0-C3AA35EC6F19}" uniqueName="37" name="เวลารับสินค้า" queryTableFieldId="102"/>
    <tableColumn id="23" xr3:uid="{7F6F2284-1906-490E-99B5-963A5BEAE6B1}" uniqueName="23" name="เวลาปล่อยรถตามจริง" queryTableFieldId="23" dataDxfId="10"/>
    <tableColumn id="38" xr3:uid="{E0EAD923-54C5-43C0-AB94-C2811B8B436C}" uniqueName="38" name="ระยะเวลาปล่อยรถล่าช้า" queryTableFieldId="103"/>
    <tableColumn id="25" xr3:uid="{6377DD0F-E0A6-40F0-86DE-EB9F6AE80AE9}" uniqueName="25" name="ปล่อยรถล่าช้า" queryTableFieldId="25" dataDxfId="9"/>
    <tableColumn id="39" xr3:uid="{AE6073E2-C08E-4F0D-8ADB-6C32E2E2F67E}" uniqueName="39" name="เวลานำส่งขนถ่ายขึ้นรถ" queryTableFieldId="104"/>
    <tableColumn id="42" xr3:uid="{A87AB25F-D6D1-4161-9214-9B5BD8A9085F}" uniqueName="42" name="เวลาเช็คเอาต์คนขับ" queryTableFieldId="105"/>
    <tableColumn id="56" xr3:uid="{18AC8586-026D-4961-910D-1C561F73A0AB}" uniqueName="56" name="รหัสสาขาปลายทาง" queryTableFieldId="56" dataDxfId="8"/>
    <tableColumn id="10" xr3:uid="{E8D58D7A-9782-45F8-BD34-08A09788B95C}" uniqueName="10" name="ชื่อDPที่รถมาถึง" queryTableFieldId="68" dataDxfId="7"/>
    <tableColumn id="43" xr3:uid="{A237A2B7-AB44-4924-BD69-A47BF12D0682}" uniqueName="43" name="แฟรนไชส์รถถึง" queryTableFieldId="106"/>
    <tableColumn id="44" xr3:uid="{9D56ED3F-15AD-4F8E-BB03-1E0B20F78F36}" uniqueName="44" name="RGMรถถึง" queryTableFieldId="107"/>
    <tableColumn id="45" xr3:uid="{0CAE968D-66D2-4264-AE3D-0E014AAE94CA}" uniqueName="45" name="จังหวัดที่รถมาถึง" queryTableFieldId="108"/>
    <tableColumn id="29" xr3:uid="{25833A33-26D9-4F27-A041-D75EBC804922}" uniqueName="29" name="เวลาที่คาดว่ารถจะถึง" queryTableFieldId="29" dataDxfId="6"/>
    <tableColumn id="31" xr3:uid="{FF7A70C6-552D-4521-96BF-0A7DD9CA642E}" uniqueName="31" name="เวลาที่ถึงจริง" queryTableFieldId="31" dataDxfId="5"/>
    <tableColumn id="47" xr3:uid="{B826D820-63D2-4A99-BA17-3A073B9B351E}" uniqueName="47" name="ระยะเวลาล่าช้า(นาที)" queryTableFieldId="109"/>
    <tableColumn id="33" xr3:uid="{097E0E6C-06D8-4EC2-BB86-6BC0BA022749}" uniqueName="33" name="รถถึงเลท" queryTableFieldId="33" dataDxfId="4"/>
    <tableColumn id="48" xr3:uid="{5C38F367-9745-4E25-89B7-D785926B0A51}" uniqueName="48" name="เวลาขนส่งล่าช้า(ชม.)" queryTableFieldId="110"/>
    <tableColumn id="35" xr3:uid="{56F5BDFE-7B1B-457B-AC00-CD87DA73B029}" uniqueName="35" name="运行是否晚点" queryTableFieldId="35" dataDxfId="3"/>
    <tableColumn id="49" xr3:uid="{2ED3D7EF-5FC6-40C5-B189-8092E547FE61}" uniqueName="49" name="เวลาเข้างานของคนขับ" queryTableFieldId="111"/>
    <tableColumn id="12" xr3:uid="{6C8F5F59-4A6D-40CA-8533-6A6B39086D2F}" uniqueName="12" name="เวลาคัดแยกรถ" queryTableFieldId="70" dataDxfId="2"/>
    <tableColumn id="50" xr3:uid="{01340C67-7849-4B40-BF92-93DB0355A8C0}" uniqueName="50" name="รายะเวลาเข้าแถวขนถ่ายลงรถ(min）" queryTableFieldId="112"/>
    <tableColumn id="13" xr3:uid="{0D83FDB2-0463-4FF7-9125-C5C9F4981217}" uniqueName="13" name="ระยะเวลาเริ่มงานที่ใช้ขนย้ายลงรถ" queryTableFieldId="71" dataDxfId="1"/>
    <tableColumn id="14" xr3:uid="{C3B8BF44-5BFB-4395-984F-E464E461121D}" uniqueName="14" name="ระยะเวลาจบงานที่ใช้ขนย้ายลงรถ" queryTableFieldId="72" dataDxfId="0"/>
    <tableColumn id="51" xr3:uid="{4C4A614F-6849-429B-BB87-12BD0A200E8A}" uniqueName="51" name="ระยะเวลาขนถ่ายลงรถ(min）" queryTableFieldId="1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240"/>
  <sheetViews>
    <sheetView tabSelected="1" zoomScale="50" zoomScaleNormal="50" workbookViewId="0">
      <selection activeCell="C5" sqref="C5"/>
    </sheetView>
  </sheetViews>
  <sheetFormatPr defaultColWidth="9" defaultRowHeight="23.25" customHeight="1"/>
  <cols>
    <col min="1" max="1" width="9.125" customWidth="1"/>
    <col min="2" max="2" width="7.375" style="4" customWidth="1"/>
    <col min="3" max="3" width="30.25" style="4" customWidth="1"/>
    <col min="4" max="4" width="25.875" customWidth="1"/>
    <col min="5" max="5" width="59.5" customWidth="1"/>
    <col min="6" max="6" width="33.75" style="4" customWidth="1"/>
    <col min="7" max="7" width="13.375" style="4" customWidth="1"/>
    <col min="8" max="8" width="28.375" hidden="1" customWidth="1"/>
    <col min="9" max="9" width="39.875" hidden="1" customWidth="1"/>
    <col min="10" max="10" width="28.5" style="4" customWidth="1"/>
    <col min="11" max="11" width="28.5" customWidth="1"/>
    <col min="12" max="12" width="13.75" hidden="1" customWidth="1"/>
    <col min="13" max="13" width="30.75" customWidth="1"/>
    <col min="14" max="14" width="28.5" style="5" customWidth="1"/>
    <col min="15" max="15" width="23.75" hidden="1" customWidth="1"/>
    <col min="16" max="16" width="28.5" customWidth="1"/>
    <col min="17" max="17" width="31.875" customWidth="1"/>
    <col min="18" max="18" width="24.875" customWidth="1"/>
    <col min="19" max="19" width="32.125" customWidth="1"/>
    <col min="20" max="20" width="27.75" customWidth="1"/>
    <col min="22" max="22" width="12.25" customWidth="1"/>
    <col min="23" max="23" width="14.25" customWidth="1"/>
    <col min="24" max="24" width="28.5" customWidth="1"/>
  </cols>
  <sheetData>
    <row r="2" spans="2:24" ht="68.099999999999994" customHeight="1">
      <c r="B2" s="63" t="s">
        <v>0</v>
      </c>
      <c r="C2" s="63"/>
      <c r="D2" s="63"/>
      <c r="E2" s="64" t="s">
        <v>1</v>
      </c>
      <c r="F2" s="65"/>
      <c r="G2" s="65"/>
      <c r="H2" s="65"/>
      <c r="I2" s="65"/>
      <c r="J2" s="65"/>
      <c r="K2" s="65"/>
      <c r="L2" s="65"/>
      <c r="M2" s="65"/>
      <c r="N2" s="66"/>
      <c r="O2" s="65"/>
      <c r="P2" s="65"/>
      <c r="Q2" s="65"/>
      <c r="R2" s="65"/>
      <c r="S2" s="67"/>
      <c r="T2" s="6"/>
    </row>
    <row r="3" spans="2:24" ht="27.95" customHeight="1">
      <c r="B3" s="7" t="s">
        <v>2</v>
      </c>
      <c r="C3" s="7" t="s">
        <v>3</v>
      </c>
      <c r="D3" s="8" t="s">
        <v>4</v>
      </c>
      <c r="E3" s="9" t="s">
        <v>5</v>
      </c>
      <c r="F3" s="7" t="s">
        <v>6</v>
      </c>
      <c r="G3" s="7" t="s">
        <v>7</v>
      </c>
      <c r="H3" s="9" t="s">
        <v>8</v>
      </c>
      <c r="I3" s="8" t="s">
        <v>9</v>
      </c>
      <c r="J3" s="10" t="s">
        <v>10</v>
      </c>
      <c r="K3" s="80" t="s">
        <v>11</v>
      </c>
      <c r="L3" s="82" t="s">
        <v>12</v>
      </c>
      <c r="M3" s="10" t="s">
        <v>13</v>
      </c>
      <c r="N3" s="11" t="s">
        <v>14</v>
      </c>
      <c r="O3" s="68" t="s">
        <v>15</v>
      </c>
      <c r="P3" s="8" t="s">
        <v>16</v>
      </c>
      <c r="Q3" s="10" t="s">
        <v>17</v>
      </c>
      <c r="R3" s="8" t="s">
        <v>18</v>
      </c>
      <c r="S3" s="70" t="s">
        <v>19</v>
      </c>
      <c r="T3" s="61" t="s">
        <v>98</v>
      </c>
    </row>
    <row r="4" spans="2:24" ht="38.25">
      <c r="B4" s="12" t="s">
        <v>20</v>
      </c>
      <c r="C4" s="13" t="s">
        <v>21</v>
      </c>
      <c r="D4" s="14" t="s">
        <v>22</v>
      </c>
      <c r="E4" s="15" t="s">
        <v>23</v>
      </c>
      <c r="F4" s="13" t="s">
        <v>24</v>
      </c>
      <c r="G4" s="12" t="s">
        <v>25</v>
      </c>
      <c r="H4" s="15" t="s">
        <v>26</v>
      </c>
      <c r="I4" s="14" t="s">
        <v>27</v>
      </c>
      <c r="J4" s="16" t="s">
        <v>28</v>
      </c>
      <c r="K4" s="81"/>
      <c r="L4" s="83"/>
      <c r="M4" s="17" t="s">
        <v>29</v>
      </c>
      <c r="N4" s="18" t="s">
        <v>30</v>
      </c>
      <c r="O4" s="69"/>
      <c r="P4" s="12" t="s">
        <v>31</v>
      </c>
      <c r="Q4" s="19" t="s">
        <v>32</v>
      </c>
      <c r="R4" s="14" t="s">
        <v>33</v>
      </c>
      <c r="S4" s="71"/>
      <c r="T4" s="62"/>
    </row>
    <row r="5" spans="2:24" ht="23.25" customHeight="1">
      <c r="B5" s="20">
        <v>1</v>
      </c>
      <c r="C5" s="58" t="e">
        <f>_xlfn.XLOOKUP(D:D,'DATA รถถึงเส้นรอง KKN'!A:A,'DATA รถถึงเส้นรอง KKN'!B:B)</f>
        <v>#N/A</v>
      </c>
      <c r="D5" s="21" t="e">
        <f>_xlfn.XLOOKUP(E5,'DATA รถถึงเส้นรอง KKN'!C:C,'DATA รถถึงเส้นรอง KKN'!A:A)</f>
        <v>#N/A</v>
      </c>
      <c r="E5" s="21" cm="1">
        <f t="array" ref="E5">INDEX('DATA รถถึงเส้นรอง KKN'!C:C,ROW()-3)</f>
        <v>0</v>
      </c>
      <c r="F5" s="22" t="e">
        <f>_xlfn.XLOOKUP(E5,'DATA รถถึงเส้นรอง KKN'!C:C,'DATA รถถึงเส้นรอง KKN'!O:O)</f>
        <v>#N/A</v>
      </c>
      <c r="G5" s="22" t="e">
        <f>_xlfn.XLOOKUP(E5,'DATA รถถึงเส้นรอง KKN'!C:C,'DATA รถถึงเส้นรอง KKN'!L:L)</f>
        <v>#N/A</v>
      </c>
      <c r="H5" s="22" t="e">
        <f>_xlfn.XLOOKUP(E5,#REF!,#REF!)</f>
        <v>#REF!</v>
      </c>
      <c r="I5" s="22" t="e">
        <f>_xlfn.XLOOKUP(E5,#REF!,#REF!)</f>
        <v>#REF!</v>
      </c>
      <c r="J5" s="23" t="e">
        <f>_xlfn.XLOOKUP(E5,'DATA รถถึงเส้นรอง KKN'!C:C,'DATA รถถึงเส้นรอง KKN'!AP:AP)</f>
        <v>#N/A</v>
      </c>
      <c r="K5" s="24" t="e">
        <f>_xlfn.XLOOKUP(E5,'DATA รถถึงเส้นรอง KKN'!C:C,'DATA รถถึงเส้นรอง KKN'!AV:AV)</f>
        <v>#N/A</v>
      </c>
      <c r="L5" s="25" t="e">
        <f>M5+TIME(2,0,0)</f>
        <v>#N/A</v>
      </c>
      <c r="M5" s="24" t="e">
        <f>_xlfn.XLOOKUP(E5,'DATA รถถึงเส้นรอง KKN'!C:C,'DATA รถถึงเส้นรอง KKN'!AW:AW)</f>
        <v>#N/A</v>
      </c>
      <c r="N5" s="24" t="e">
        <f>_xlfn.XLOOKUP(E5,'DATA รถถึงเส้นรอง KKN'!C:C,'DATA รถถึงเส้นรอง KKN'!AY:AY)</f>
        <v>#N/A</v>
      </c>
      <c r="O5" s="26" t="e">
        <f>IF(OR(N5=0,L5=0,N5="",L5=""),"ข้อมูลไม่ครบ",IF(TEXT(N5,"hh:mm:ss")&gt;TEXT(L5,"hh:mm:ss"),"เกินเวลาลงพัสดุ","อยู่ในเวลาที่ควรลง"))</f>
        <v>#N/A</v>
      </c>
      <c r="P5" s="24" t="e">
        <f>_xlfn.XLOOKUP(E5,'DATA รถถึงเส้นรอง KKN'!C:C,'DATA รถถึงเส้นรอง KKN'!AZ:AZ)</f>
        <v>#N/A</v>
      </c>
      <c r="Q5" s="60" t="str">
        <f>IFERROR(IF(AND(P5&lt;&gt;"",P5&lt;&gt;0),"卸完货 ลงพัสดุเสร็จ",IF(AND(N5&lt;&gt;"",N5&lt;&gt;0),"正在卸货 กำลังลงพัสดุ",IF(AND(M5&lt;&gt;"",M5&lt;&gt;0),"等待卸货 รอลงพัสดุ",IF(OR(AND(J5&lt;&gt;"",J5&lt;&gt;0),AND(K5&lt;&gt;"",K5&lt;&gt;0)),"在途 รถยังไม่ถึง","")))),"")</f>
        <v/>
      </c>
      <c r="R5" s="27"/>
      <c r="S5" s="28"/>
      <c r="T5" s="59" t="e">
        <f>INT((V5-W5)*1440)</f>
        <v>#N/A</v>
      </c>
      <c r="V5" s="25" t="e">
        <f>RIGHT(P5,8)</f>
        <v>#N/A</v>
      </c>
      <c r="W5" s="25" t="e">
        <f>RIGHT(N5,8)</f>
        <v>#N/A</v>
      </c>
      <c r="X5" s="29" t="e">
        <f>MOD(V5-W5,1)</f>
        <v>#N/A</v>
      </c>
    </row>
    <row r="6" spans="2:24" ht="23.25" customHeight="1">
      <c r="B6" s="20">
        <v>2</v>
      </c>
      <c r="C6" s="58" t="e">
        <f>_xlfn.XLOOKUP(D:D,'DATA รถถึงเส้นรอง KKN'!A:A,'DATA รถถึงเส้นรอง KKN'!B:B)</f>
        <v>#N/A</v>
      </c>
      <c r="D6" s="32" t="e">
        <f>_xlfn.XLOOKUP(E6,'DATA รถถึงเส้นรอง KKN'!C:C,'DATA รถถึงเส้นรอง KKN'!A:A)</f>
        <v>#N/A</v>
      </c>
      <c r="E6" s="32" cm="1">
        <f t="array" ref="E6">INDEX('DATA รถถึงเส้นรอง KKN'!C:C,ROW()-3)</f>
        <v>0</v>
      </c>
      <c r="F6" s="22" t="e">
        <f>_xlfn.XLOOKUP(E6,'DATA รถถึงเส้นรอง KKN'!C:C,'DATA รถถึงเส้นรอง KKN'!O:O)</f>
        <v>#N/A</v>
      </c>
      <c r="G6" s="22" t="e">
        <f>_xlfn.XLOOKUP(E6,'DATA รถถึงเส้นรอง KKN'!C:C,'DATA รถถึงเส้นรอง KKN'!L:L)</f>
        <v>#N/A</v>
      </c>
      <c r="H6" s="22" t="e">
        <f>_xlfn.XLOOKUP(E6,#REF!,#REF!)</f>
        <v>#REF!</v>
      </c>
      <c r="I6" s="22" t="e">
        <f>_xlfn.XLOOKUP(E6,#REF!,#REF!)</f>
        <v>#REF!</v>
      </c>
      <c r="J6" s="23" t="e">
        <f>_xlfn.XLOOKUP(E6,'DATA รถถึงเส้นรอง KKN'!C:C,'DATA รถถึงเส้นรอง KKN'!AP:AP)</f>
        <v>#N/A</v>
      </c>
      <c r="K6" s="24" t="e">
        <f>_xlfn.XLOOKUP(E6,'DATA รถถึงเส้นรอง KKN'!C:C,'DATA รถถึงเส้นรอง KKN'!AV:AV)</f>
        <v>#N/A</v>
      </c>
      <c r="L6" s="25" t="e">
        <f>M6+TIME(2,0,0)</f>
        <v>#N/A</v>
      </c>
      <c r="M6" s="24" t="e">
        <f>_xlfn.XLOOKUP(E6,'DATA รถถึงเส้นรอง KKN'!C:C,'DATA รถถึงเส้นรอง KKN'!AW:AW)</f>
        <v>#N/A</v>
      </c>
      <c r="N6" s="24" t="e">
        <f>_xlfn.XLOOKUP(E6,'DATA รถถึงเส้นรอง KKN'!C:C,'DATA รถถึงเส้นรอง KKN'!AY:AY)</f>
        <v>#N/A</v>
      </c>
      <c r="O6" s="26" t="e">
        <f>IF(OR(N6=0,L6=0,N6="",L6=""),"ข้อมูลไม่ครบ",IF(TEXT(N6,"hh:mm:ss")&gt;TEXT(L6,"hh:mm:ss"),"เกินเวลาลงพัสดุ","อยู่ในเวลาที่ควรลง"))</f>
        <v>#N/A</v>
      </c>
      <c r="P6" s="24" t="e">
        <f>_xlfn.XLOOKUP(E6,'DATA รถถึงเส้นรอง KKN'!C:C,'DATA รถถึงเส้นรอง KKN'!AZ:AZ)</f>
        <v>#N/A</v>
      </c>
      <c r="Q6" s="60" t="str">
        <f t="shared" ref="Q6:Q69" si="0">IFERROR(IF(AND(P6&lt;&gt;"",P6&lt;&gt;0),"卸完货 ลงพัสดุเสร็จ",IF(AND(N6&lt;&gt;"",N6&lt;&gt;0),"正在卸货 กำลังลงพัสดุ",IF(AND(M6&lt;&gt;"",M6&lt;&gt;0),"等待卸货 รอลงพัสดุ",IF(OR(AND(J6&lt;&gt;"",J6&lt;&gt;0),AND(K6&lt;&gt;"",K6&lt;&gt;0)),"在途 รถยังไม่ถึง","")))),"")</f>
        <v/>
      </c>
      <c r="R6" s="27"/>
      <c r="S6" s="28"/>
      <c r="T6" s="59" t="e">
        <f t="shared" ref="T6:T69" si="1">INT((V6-W6)*1440)</f>
        <v>#N/A</v>
      </c>
      <c r="V6" s="25" t="e">
        <f t="shared" ref="V6:V37" si="2">RIGHT(P6,8)</f>
        <v>#N/A</v>
      </c>
      <c r="W6" s="25" t="e">
        <f t="shared" ref="W6:W37" si="3">RIGHT(N6,8)</f>
        <v>#N/A</v>
      </c>
      <c r="X6" s="29" t="e">
        <f t="shared" ref="X6:X37" si="4">MOD(V6-W6,1)</f>
        <v>#N/A</v>
      </c>
    </row>
    <row r="7" spans="2:24" ht="20.25">
      <c r="B7" s="20">
        <v>3</v>
      </c>
      <c r="C7" s="58" t="e">
        <f>_xlfn.XLOOKUP(D:D,'DATA รถถึงเส้นรอง KKN'!A:A,'DATA รถถึงเส้นรอง KKN'!B:B)</f>
        <v>#N/A</v>
      </c>
      <c r="D7" s="32" t="e">
        <f>_xlfn.XLOOKUP(E7,'DATA รถถึงเส้นรอง KKN'!C:C,'DATA รถถึงเส้นรอง KKN'!A:A)</f>
        <v>#N/A</v>
      </c>
      <c r="E7" s="32" cm="1">
        <f t="array" ref="E7">INDEX('DATA รถถึงเส้นรอง KKN'!C:C,ROW()-3)</f>
        <v>0</v>
      </c>
      <c r="F7" s="22" t="e">
        <f>_xlfn.XLOOKUP(E7,'DATA รถถึงเส้นรอง KKN'!C:C,'DATA รถถึงเส้นรอง KKN'!O:O)</f>
        <v>#N/A</v>
      </c>
      <c r="G7" s="22" t="e">
        <f>_xlfn.XLOOKUP(E7,'DATA รถถึงเส้นรอง KKN'!C:C,'DATA รถถึงเส้นรอง KKN'!L:L)</f>
        <v>#N/A</v>
      </c>
      <c r="H7" s="22" t="e">
        <f>_xlfn.XLOOKUP(E7,#REF!,#REF!)</f>
        <v>#REF!</v>
      </c>
      <c r="I7" s="22" t="e">
        <f>_xlfn.XLOOKUP(E7,#REF!,#REF!)</f>
        <v>#REF!</v>
      </c>
      <c r="J7" s="23" t="e">
        <f>_xlfn.XLOOKUP(E7,'DATA รถถึงเส้นรอง KKN'!C:C,'DATA รถถึงเส้นรอง KKN'!AP:AP)</f>
        <v>#N/A</v>
      </c>
      <c r="K7" s="24" t="e">
        <f>_xlfn.XLOOKUP(E7,'DATA รถถึงเส้นรอง KKN'!C:C,'DATA รถถึงเส้นรอง KKN'!AV:AV)</f>
        <v>#N/A</v>
      </c>
      <c r="L7" s="25" t="e">
        <f t="shared" ref="L7:L37" si="5">M7+TIME(2,0,0)</f>
        <v>#N/A</v>
      </c>
      <c r="M7" s="24" t="e">
        <f>_xlfn.XLOOKUP(E7,'DATA รถถึงเส้นรอง KKN'!C:C,'DATA รถถึงเส้นรอง KKN'!AW:AW)</f>
        <v>#N/A</v>
      </c>
      <c r="N7" s="24" t="e">
        <f>_xlfn.XLOOKUP(E7,'DATA รถถึงเส้นรอง KKN'!C:C,'DATA รถถึงเส้นรอง KKN'!AY:AY)</f>
        <v>#N/A</v>
      </c>
      <c r="O7" s="26" t="e">
        <f t="shared" ref="O7:O37" si="6">IF(OR(N7=0,L7=0,N7="",L7=""),"ข้อมูลไม่ครบ",IF(TEXT(N7,"hh:mm:ss")&gt;TEXT(L7,"hh:mm:ss"),"เกินเวลาลงพัสดุ","อยู่ในเวลาที่ควรลง"))</f>
        <v>#N/A</v>
      </c>
      <c r="P7" s="24" t="e">
        <f>_xlfn.XLOOKUP(E7,'DATA รถถึงเส้นรอง KKN'!C:C,'DATA รถถึงเส้นรอง KKN'!AZ:AZ)</f>
        <v>#N/A</v>
      </c>
      <c r="Q7" s="60" t="str">
        <f t="shared" si="0"/>
        <v/>
      </c>
      <c r="R7" s="27"/>
      <c r="S7" s="28"/>
      <c r="T7" s="59" t="e">
        <f t="shared" si="1"/>
        <v>#N/A</v>
      </c>
      <c r="V7" s="25" t="e">
        <f t="shared" si="2"/>
        <v>#N/A</v>
      </c>
      <c r="W7" s="25" t="e">
        <f t="shared" si="3"/>
        <v>#N/A</v>
      </c>
      <c r="X7" s="29" t="e">
        <f t="shared" si="4"/>
        <v>#N/A</v>
      </c>
    </row>
    <row r="8" spans="2:24" ht="20.25">
      <c r="B8" s="20">
        <v>4</v>
      </c>
      <c r="C8" s="58" t="e">
        <f>_xlfn.XLOOKUP(D:D,'DATA รถถึงเส้นรอง KKN'!A:A,'DATA รถถึงเส้นรอง KKN'!B:B)</f>
        <v>#N/A</v>
      </c>
      <c r="D8" s="32" t="e">
        <f>_xlfn.XLOOKUP(E8,'DATA รถถึงเส้นรอง KKN'!C:C,'DATA รถถึงเส้นรอง KKN'!A:A)</f>
        <v>#N/A</v>
      </c>
      <c r="E8" s="32" cm="1">
        <f t="array" ref="E8">INDEX('DATA รถถึงเส้นรอง KKN'!C:C,ROW()-3)</f>
        <v>0</v>
      </c>
      <c r="F8" s="22" t="e">
        <f>_xlfn.XLOOKUP(E8,'DATA รถถึงเส้นรอง KKN'!C:C,'DATA รถถึงเส้นรอง KKN'!O:O)</f>
        <v>#N/A</v>
      </c>
      <c r="G8" s="22" t="e">
        <f>_xlfn.XLOOKUP(E8,'DATA รถถึงเส้นรอง KKN'!C:C,'DATA รถถึงเส้นรอง KKN'!L:L)</f>
        <v>#N/A</v>
      </c>
      <c r="H8" s="22" t="e">
        <f>_xlfn.XLOOKUP(E8,#REF!,#REF!)</f>
        <v>#REF!</v>
      </c>
      <c r="I8" s="22" t="e">
        <f>_xlfn.XLOOKUP(E8,#REF!,#REF!)</f>
        <v>#REF!</v>
      </c>
      <c r="J8" s="23" t="e">
        <f>_xlfn.XLOOKUP(E8,'DATA รถถึงเส้นรอง KKN'!C:C,'DATA รถถึงเส้นรอง KKN'!AP:AP)</f>
        <v>#N/A</v>
      </c>
      <c r="K8" s="24" t="e">
        <f>_xlfn.XLOOKUP(E8,'DATA รถถึงเส้นรอง KKN'!C:C,'DATA รถถึงเส้นรอง KKN'!AV:AV)</f>
        <v>#N/A</v>
      </c>
      <c r="L8" s="25" t="e">
        <f t="shared" si="5"/>
        <v>#N/A</v>
      </c>
      <c r="M8" s="24" t="e">
        <f>_xlfn.XLOOKUP(E8,'DATA รถถึงเส้นรอง KKN'!C:C,'DATA รถถึงเส้นรอง KKN'!AW:AW)</f>
        <v>#N/A</v>
      </c>
      <c r="N8" s="24" t="e">
        <f>_xlfn.XLOOKUP(E8,'DATA รถถึงเส้นรอง KKN'!C:C,'DATA รถถึงเส้นรอง KKN'!AY:AY)</f>
        <v>#N/A</v>
      </c>
      <c r="O8" s="26" t="e">
        <f t="shared" si="6"/>
        <v>#N/A</v>
      </c>
      <c r="P8" s="24" t="e">
        <f>_xlfn.XLOOKUP(E8,'DATA รถถึงเส้นรอง KKN'!C:C,'DATA รถถึงเส้นรอง KKN'!AZ:AZ)</f>
        <v>#N/A</v>
      </c>
      <c r="Q8" s="60" t="str">
        <f t="shared" si="0"/>
        <v/>
      </c>
      <c r="R8" s="27"/>
      <c r="S8" s="28"/>
      <c r="T8" s="59" t="e">
        <f t="shared" si="1"/>
        <v>#N/A</v>
      </c>
      <c r="V8" s="25" t="e">
        <f t="shared" si="2"/>
        <v>#N/A</v>
      </c>
      <c r="W8" s="25" t="e">
        <f t="shared" si="3"/>
        <v>#N/A</v>
      </c>
      <c r="X8" s="29" t="e">
        <f t="shared" si="4"/>
        <v>#N/A</v>
      </c>
    </row>
    <row r="9" spans="2:24" ht="20.25" customHeight="1">
      <c r="B9" s="20">
        <v>5</v>
      </c>
      <c r="C9" s="58" t="e">
        <f>_xlfn.XLOOKUP(D:D,'DATA รถถึงเส้นรอง KKN'!A:A,'DATA รถถึงเส้นรอง KKN'!B:B)</f>
        <v>#N/A</v>
      </c>
      <c r="D9" s="32" t="e">
        <f>_xlfn.XLOOKUP(E9,'DATA รถถึงเส้นรอง KKN'!C:C,'DATA รถถึงเส้นรอง KKN'!A:A)</f>
        <v>#N/A</v>
      </c>
      <c r="E9" s="32" cm="1">
        <f t="array" ref="E9">INDEX('DATA รถถึงเส้นรอง KKN'!C:C,ROW()-3)</f>
        <v>0</v>
      </c>
      <c r="F9" s="22" t="e">
        <f>_xlfn.XLOOKUP(E9,'DATA รถถึงเส้นรอง KKN'!C:C,'DATA รถถึงเส้นรอง KKN'!O:O)</f>
        <v>#N/A</v>
      </c>
      <c r="G9" s="22" t="e">
        <f>_xlfn.XLOOKUP(E9,'DATA รถถึงเส้นรอง KKN'!C:C,'DATA รถถึงเส้นรอง KKN'!L:L)</f>
        <v>#N/A</v>
      </c>
      <c r="H9" s="22" t="e">
        <f>_xlfn.XLOOKUP(E9,#REF!,#REF!)</f>
        <v>#REF!</v>
      </c>
      <c r="I9" s="22" t="e">
        <f>_xlfn.XLOOKUP(E9,#REF!,#REF!)</f>
        <v>#REF!</v>
      </c>
      <c r="J9" s="23" t="e">
        <f>_xlfn.XLOOKUP(E9,'DATA รถถึงเส้นรอง KKN'!C:C,'DATA รถถึงเส้นรอง KKN'!AP:AP)</f>
        <v>#N/A</v>
      </c>
      <c r="K9" s="24" t="e">
        <f>_xlfn.XLOOKUP(E9,'DATA รถถึงเส้นรอง KKN'!C:C,'DATA รถถึงเส้นรอง KKN'!AV:AV)</f>
        <v>#N/A</v>
      </c>
      <c r="L9" s="25" t="e">
        <f t="shared" si="5"/>
        <v>#N/A</v>
      </c>
      <c r="M9" s="24" t="e">
        <f>_xlfn.XLOOKUP(E9,'DATA รถถึงเส้นรอง KKN'!C:C,'DATA รถถึงเส้นรอง KKN'!AW:AW)</f>
        <v>#N/A</v>
      </c>
      <c r="N9" s="24" t="e">
        <f>_xlfn.XLOOKUP(E9,'DATA รถถึงเส้นรอง KKN'!C:C,'DATA รถถึงเส้นรอง KKN'!AY:AY)</f>
        <v>#N/A</v>
      </c>
      <c r="O9" s="26" t="e">
        <f t="shared" si="6"/>
        <v>#N/A</v>
      </c>
      <c r="P9" s="24" t="e">
        <f>_xlfn.XLOOKUP(E9,'DATA รถถึงเส้นรอง KKN'!C:C,'DATA รถถึงเส้นรอง KKN'!AZ:AZ)</f>
        <v>#N/A</v>
      </c>
      <c r="Q9" s="60" t="str">
        <f t="shared" si="0"/>
        <v/>
      </c>
      <c r="R9" s="27"/>
      <c r="S9" s="28"/>
      <c r="T9" s="59" t="e">
        <f t="shared" si="1"/>
        <v>#N/A</v>
      </c>
      <c r="V9" s="25" t="e">
        <f t="shared" si="2"/>
        <v>#N/A</v>
      </c>
      <c r="W9" s="25" t="e">
        <f t="shared" si="3"/>
        <v>#N/A</v>
      </c>
      <c r="X9" s="29" t="e">
        <f t="shared" si="4"/>
        <v>#N/A</v>
      </c>
    </row>
    <row r="10" spans="2:24" ht="23.25" customHeight="1">
      <c r="B10" s="20">
        <v>6</v>
      </c>
      <c r="C10" s="58" t="e">
        <f>_xlfn.XLOOKUP(D:D,'DATA รถถึงเส้นรอง KKN'!A:A,'DATA รถถึงเส้นรอง KKN'!B:B)</f>
        <v>#N/A</v>
      </c>
      <c r="D10" s="32" t="e">
        <f>_xlfn.XLOOKUP(E10,'DATA รถถึงเส้นรอง KKN'!C:C,'DATA รถถึงเส้นรอง KKN'!A:A)</f>
        <v>#N/A</v>
      </c>
      <c r="E10" s="32" cm="1">
        <f t="array" ref="E10">INDEX('DATA รถถึงเส้นรอง KKN'!C:C,ROW()-3)</f>
        <v>0</v>
      </c>
      <c r="F10" s="22" t="e">
        <f>_xlfn.XLOOKUP(E10,'DATA รถถึงเส้นรอง KKN'!C:C,'DATA รถถึงเส้นรอง KKN'!O:O)</f>
        <v>#N/A</v>
      </c>
      <c r="G10" s="22" t="e">
        <f>_xlfn.XLOOKUP(E10,'DATA รถถึงเส้นรอง KKN'!C:C,'DATA รถถึงเส้นรอง KKN'!L:L)</f>
        <v>#N/A</v>
      </c>
      <c r="H10" s="22" t="e">
        <f>_xlfn.XLOOKUP(E10,#REF!,#REF!)</f>
        <v>#REF!</v>
      </c>
      <c r="I10" s="22" t="e">
        <f>_xlfn.XLOOKUP(E10,#REF!,#REF!)</f>
        <v>#REF!</v>
      </c>
      <c r="J10" s="23" t="e">
        <f>_xlfn.XLOOKUP(E10,'DATA รถถึงเส้นรอง KKN'!C:C,'DATA รถถึงเส้นรอง KKN'!AP:AP)</f>
        <v>#N/A</v>
      </c>
      <c r="K10" s="24" t="e">
        <f>_xlfn.XLOOKUP(E10,'DATA รถถึงเส้นรอง KKN'!C:C,'DATA รถถึงเส้นรอง KKN'!AV:AV)</f>
        <v>#N/A</v>
      </c>
      <c r="L10" s="25" t="e">
        <f t="shared" si="5"/>
        <v>#N/A</v>
      </c>
      <c r="M10" s="24" t="e">
        <f>_xlfn.XLOOKUP(E10,'DATA รถถึงเส้นรอง KKN'!C:C,'DATA รถถึงเส้นรอง KKN'!AW:AW)</f>
        <v>#N/A</v>
      </c>
      <c r="N10" s="24" t="e">
        <f>_xlfn.XLOOKUP(E10,'DATA รถถึงเส้นรอง KKN'!C:C,'DATA รถถึงเส้นรอง KKN'!AY:AY)</f>
        <v>#N/A</v>
      </c>
      <c r="O10" s="26" t="e">
        <f t="shared" si="6"/>
        <v>#N/A</v>
      </c>
      <c r="P10" s="24" t="e">
        <f>_xlfn.XLOOKUP(E10,'DATA รถถึงเส้นรอง KKN'!C:C,'DATA รถถึงเส้นรอง KKN'!AZ:AZ)</f>
        <v>#N/A</v>
      </c>
      <c r="Q10" s="60" t="str">
        <f t="shared" si="0"/>
        <v/>
      </c>
      <c r="R10" s="27"/>
      <c r="S10" s="28"/>
      <c r="T10" s="59" t="e">
        <f t="shared" si="1"/>
        <v>#N/A</v>
      </c>
      <c r="V10" s="25" t="e">
        <f t="shared" si="2"/>
        <v>#N/A</v>
      </c>
      <c r="W10" s="25" t="e">
        <f t="shared" si="3"/>
        <v>#N/A</v>
      </c>
      <c r="X10" s="29" t="e">
        <f t="shared" si="4"/>
        <v>#N/A</v>
      </c>
    </row>
    <row r="11" spans="2:24" ht="23.25" customHeight="1">
      <c r="B11" s="20">
        <v>7</v>
      </c>
      <c r="C11" s="58" t="e">
        <f>_xlfn.XLOOKUP(D:D,'DATA รถถึงเส้นรอง KKN'!A:A,'DATA รถถึงเส้นรอง KKN'!B:B)</f>
        <v>#N/A</v>
      </c>
      <c r="D11" s="32" t="e">
        <f>_xlfn.XLOOKUP(E11,'DATA รถถึงเส้นรอง KKN'!C:C,'DATA รถถึงเส้นรอง KKN'!A:A)</f>
        <v>#N/A</v>
      </c>
      <c r="E11" s="32" cm="1">
        <f t="array" ref="E11">INDEX('DATA รถถึงเส้นรอง KKN'!C:C,ROW()-3)</f>
        <v>0</v>
      </c>
      <c r="F11" s="22" t="e">
        <f>_xlfn.XLOOKUP(E11,'DATA รถถึงเส้นรอง KKN'!C:C,'DATA รถถึงเส้นรอง KKN'!O:O)</f>
        <v>#N/A</v>
      </c>
      <c r="G11" s="22" t="e">
        <f>_xlfn.XLOOKUP(E11,'DATA รถถึงเส้นรอง KKN'!C:C,'DATA รถถึงเส้นรอง KKN'!L:L)</f>
        <v>#N/A</v>
      </c>
      <c r="H11" s="22" t="e">
        <f>_xlfn.XLOOKUP(E11,#REF!,#REF!)</f>
        <v>#REF!</v>
      </c>
      <c r="I11" s="22" t="e">
        <f>_xlfn.XLOOKUP(E11,#REF!,#REF!)</f>
        <v>#REF!</v>
      </c>
      <c r="J11" s="23" t="e">
        <f>_xlfn.XLOOKUP(E11,'DATA รถถึงเส้นรอง KKN'!C:C,'DATA รถถึงเส้นรอง KKN'!AP:AP)</f>
        <v>#N/A</v>
      </c>
      <c r="K11" s="24" t="e">
        <f>_xlfn.XLOOKUP(E11,'DATA รถถึงเส้นรอง KKN'!C:C,'DATA รถถึงเส้นรอง KKN'!AV:AV)</f>
        <v>#N/A</v>
      </c>
      <c r="L11" s="25" t="e">
        <f t="shared" si="5"/>
        <v>#N/A</v>
      </c>
      <c r="M11" s="24" t="e">
        <f>_xlfn.XLOOKUP(E11,'DATA รถถึงเส้นรอง KKN'!C:C,'DATA รถถึงเส้นรอง KKN'!AW:AW)</f>
        <v>#N/A</v>
      </c>
      <c r="N11" s="24" t="e">
        <f>_xlfn.XLOOKUP(E11,'DATA รถถึงเส้นรอง KKN'!C:C,'DATA รถถึงเส้นรอง KKN'!AY:AY)</f>
        <v>#N/A</v>
      </c>
      <c r="O11" s="26" t="e">
        <f t="shared" si="6"/>
        <v>#N/A</v>
      </c>
      <c r="P11" s="24" t="e">
        <f>_xlfn.XLOOKUP(E11,'DATA รถถึงเส้นรอง KKN'!C:C,'DATA รถถึงเส้นรอง KKN'!AZ:AZ)</f>
        <v>#N/A</v>
      </c>
      <c r="Q11" s="60" t="str">
        <f t="shared" si="0"/>
        <v/>
      </c>
      <c r="R11" s="27"/>
      <c r="S11" s="28"/>
      <c r="T11" s="59" t="e">
        <f t="shared" si="1"/>
        <v>#N/A</v>
      </c>
      <c r="V11" s="25" t="e">
        <f t="shared" si="2"/>
        <v>#N/A</v>
      </c>
      <c r="W11" s="25" t="e">
        <f t="shared" si="3"/>
        <v>#N/A</v>
      </c>
      <c r="X11" s="29" t="e">
        <f t="shared" si="4"/>
        <v>#N/A</v>
      </c>
    </row>
    <row r="12" spans="2:24" ht="23.25" customHeight="1">
      <c r="B12" s="20">
        <v>8</v>
      </c>
      <c r="C12" s="58" t="e">
        <f>_xlfn.XLOOKUP(D:D,'DATA รถถึงเส้นรอง KKN'!A:A,'DATA รถถึงเส้นรอง KKN'!B:B)</f>
        <v>#N/A</v>
      </c>
      <c r="D12" s="32" t="e">
        <f>_xlfn.XLOOKUP(E12,'DATA รถถึงเส้นรอง KKN'!C:C,'DATA รถถึงเส้นรอง KKN'!A:A)</f>
        <v>#N/A</v>
      </c>
      <c r="E12" s="32" cm="1">
        <f t="array" ref="E12">INDEX('DATA รถถึงเส้นรอง KKN'!C:C,ROW()-3)</f>
        <v>0</v>
      </c>
      <c r="F12" s="22" t="e">
        <f>_xlfn.XLOOKUP(E12,'DATA รถถึงเส้นรอง KKN'!C:C,'DATA รถถึงเส้นรอง KKN'!O:O)</f>
        <v>#N/A</v>
      </c>
      <c r="G12" s="22" t="e">
        <f>_xlfn.XLOOKUP(E12,'DATA รถถึงเส้นรอง KKN'!C:C,'DATA รถถึงเส้นรอง KKN'!L:L)</f>
        <v>#N/A</v>
      </c>
      <c r="H12" s="22" t="e">
        <f>_xlfn.XLOOKUP(E12,#REF!,#REF!)</f>
        <v>#REF!</v>
      </c>
      <c r="I12" s="22" t="e">
        <f>_xlfn.XLOOKUP(E12,#REF!,#REF!)</f>
        <v>#REF!</v>
      </c>
      <c r="J12" s="23" t="e">
        <f>_xlfn.XLOOKUP(E12,'DATA รถถึงเส้นรอง KKN'!C:C,'DATA รถถึงเส้นรอง KKN'!AP:AP)</f>
        <v>#N/A</v>
      </c>
      <c r="K12" s="24" t="e">
        <f>_xlfn.XLOOKUP(E12,'DATA รถถึงเส้นรอง KKN'!C:C,'DATA รถถึงเส้นรอง KKN'!AV:AV)</f>
        <v>#N/A</v>
      </c>
      <c r="L12" s="25" t="e">
        <f t="shared" si="5"/>
        <v>#N/A</v>
      </c>
      <c r="M12" s="24" t="e">
        <f>_xlfn.XLOOKUP(E12,'DATA รถถึงเส้นรอง KKN'!C:C,'DATA รถถึงเส้นรอง KKN'!AW:AW)</f>
        <v>#N/A</v>
      </c>
      <c r="N12" s="24" t="e">
        <f>_xlfn.XLOOKUP(E12,'DATA รถถึงเส้นรอง KKN'!C:C,'DATA รถถึงเส้นรอง KKN'!AY:AY)</f>
        <v>#N/A</v>
      </c>
      <c r="O12" s="26" t="e">
        <f t="shared" si="6"/>
        <v>#N/A</v>
      </c>
      <c r="P12" s="24" t="e">
        <f>_xlfn.XLOOKUP(E12,'DATA รถถึงเส้นรอง KKN'!C:C,'DATA รถถึงเส้นรอง KKN'!AZ:AZ)</f>
        <v>#N/A</v>
      </c>
      <c r="Q12" s="60" t="str">
        <f t="shared" si="0"/>
        <v/>
      </c>
      <c r="R12" s="27"/>
      <c r="S12" s="28"/>
      <c r="T12" s="59" t="e">
        <f t="shared" si="1"/>
        <v>#N/A</v>
      </c>
      <c r="V12" s="25" t="e">
        <f t="shared" si="2"/>
        <v>#N/A</v>
      </c>
      <c r="W12" s="25" t="e">
        <f t="shared" si="3"/>
        <v>#N/A</v>
      </c>
      <c r="X12" s="29" t="e">
        <f t="shared" si="4"/>
        <v>#N/A</v>
      </c>
    </row>
    <row r="13" spans="2:24" ht="23.25" customHeight="1">
      <c r="B13" s="20">
        <v>9</v>
      </c>
      <c r="C13" s="58" t="e">
        <f>_xlfn.XLOOKUP(D:D,'DATA รถถึงเส้นรอง KKN'!A:A,'DATA รถถึงเส้นรอง KKN'!B:B)</f>
        <v>#N/A</v>
      </c>
      <c r="D13" s="32" t="e">
        <f>_xlfn.XLOOKUP(E13,'DATA รถถึงเส้นรอง KKN'!C:C,'DATA รถถึงเส้นรอง KKN'!A:A)</f>
        <v>#N/A</v>
      </c>
      <c r="E13" s="32" cm="1">
        <f t="array" ref="E13">INDEX('DATA รถถึงเส้นรอง KKN'!C:C,ROW()-3)</f>
        <v>0</v>
      </c>
      <c r="F13" s="22" t="e">
        <f>_xlfn.XLOOKUP(E13,'DATA รถถึงเส้นรอง KKN'!C:C,'DATA รถถึงเส้นรอง KKN'!O:O)</f>
        <v>#N/A</v>
      </c>
      <c r="G13" s="22" t="e">
        <f>_xlfn.XLOOKUP(E13,'DATA รถถึงเส้นรอง KKN'!C:C,'DATA รถถึงเส้นรอง KKN'!L:L)</f>
        <v>#N/A</v>
      </c>
      <c r="H13" s="22" t="e">
        <f>_xlfn.XLOOKUP(E13,#REF!,#REF!)</f>
        <v>#REF!</v>
      </c>
      <c r="I13" s="22" t="e">
        <f>_xlfn.XLOOKUP(E13,#REF!,#REF!)</f>
        <v>#REF!</v>
      </c>
      <c r="J13" s="23" t="e">
        <f>_xlfn.XLOOKUP(E13,'DATA รถถึงเส้นรอง KKN'!C:C,'DATA รถถึงเส้นรอง KKN'!AP:AP)</f>
        <v>#N/A</v>
      </c>
      <c r="K13" s="24" t="e">
        <f>_xlfn.XLOOKUP(E13,'DATA รถถึงเส้นรอง KKN'!C:C,'DATA รถถึงเส้นรอง KKN'!AV:AV)</f>
        <v>#N/A</v>
      </c>
      <c r="L13" s="25" t="e">
        <f t="shared" si="5"/>
        <v>#N/A</v>
      </c>
      <c r="M13" s="24" t="e">
        <f>_xlfn.XLOOKUP(E13,'DATA รถถึงเส้นรอง KKN'!C:C,'DATA รถถึงเส้นรอง KKN'!AW:AW)</f>
        <v>#N/A</v>
      </c>
      <c r="N13" s="24" t="e">
        <f>_xlfn.XLOOKUP(E13,'DATA รถถึงเส้นรอง KKN'!C:C,'DATA รถถึงเส้นรอง KKN'!AY:AY)</f>
        <v>#N/A</v>
      </c>
      <c r="O13" s="26" t="e">
        <f t="shared" si="6"/>
        <v>#N/A</v>
      </c>
      <c r="P13" s="24" t="e">
        <f>_xlfn.XLOOKUP(E13,'DATA รถถึงเส้นรอง KKN'!C:C,'DATA รถถึงเส้นรอง KKN'!AZ:AZ)</f>
        <v>#N/A</v>
      </c>
      <c r="Q13" s="60" t="str">
        <f t="shared" si="0"/>
        <v/>
      </c>
      <c r="R13" s="27"/>
      <c r="S13" s="28"/>
      <c r="T13" s="59" t="e">
        <f t="shared" si="1"/>
        <v>#N/A</v>
      </c>
      <c r="V13" s="25" t="e">
        <f t="shared" si="2"/>
        <v>#N/A</v>
      </c>
      <c r="W13" s="25" t="e">
        <f t="shared" si="3"/>
        <v>#N/A</v>
      </c>
      <c r="X13" s="29" t="e">
        <f t="shared" si="4"/>
        <v>#N/A</v>
      </c>
    </row>
    <row r="14" spans="2:24" ht="23.25" customHeight="1">
      <c r="B14" s="20">
        <v>10</v>
      </c>
      <c r="C14" s="58" t="e">
        <f>_xlfn.XLOOKUP(D:D,'DATA รถถึงเส้นรอง KKN'!A:A,'DATA รถถึงเส้นรอง KKN'!B:B)</f>
        <v>#N/A</v>
      </c>
      <c r="D14" s="32" t="e">
        <f>_xlfn.XLOOKUP(E14,'DATA รถถึงเส้นรอง KKN'!C:C,'DATA รถถึงเส้นรอง KKN'!A:A)</f>
        <v>#N/A</v>
      </c>
      <c r="E14" s="32" cm="1">
        <f t="array" ref="E14">INDEX('DATA รถถึงเส้นรอง KKN'!C:C,ROW()-3)</f>
        <v>0</v>
      </c>
      <c r="F14" s="22" t="e">
        <f>_xlfn.XLOOKUP(E14,'DATA รถถึงเส้นรอง KKN'!C:C,'DATA รถถึงเส้นรอง KKN'!O:O)</f>
        <v>#N/A</v>
      </c>
      <c r="G14" s="22" t="e">
        <f>_xlfn.XLOOKUP(E14,'DATA รถถึงเส้นรอง KKN'!C:C,'DATA รถถึงเส้นรอง KKN'!L:L)</f>
        <v>#N/A</v>
      </c>
      <c r="H14" s="22" t="e">
        <f>_xlfn.XLOOKUP(E14,#REF!,#REF!)</f>
        <v>#REF!</v>
      </c>
      <c r="I14" s="22" t="e">
        <f>_xlfn.XLOOKUP(E14,#REF!,#REF!)</f>
        <v>#REF!</v>
      </c>
      <c r="J14" s="23" t="e">
        <f>_xlfn.XLOOKUP(E14,'DATA รถถึงเส้นรอง KKN'!C:C,'DATA รถถึงเส้นรอง KKN'!AP:AP)</f>
        <v>#N/A</v>
      </c>
      <c r="K14" s="24" t="e">
        <f>_xlfn.XLOOKUP(E14,'DATA รถถึงเส้นรอง KKN'!C:C,'DATA รถถึงเส้นรอง KKN'!AV:AV)</f>
        <v>#N/A</v>
      </c>
      <c r="L14" s="25" t="e">
        <f t="shared" si="5"/>
        <v>#N/A</v>
      </c>
      <c r="M14" s="24" t="e">
        <f>_xlfn.XLOOKUP(E14,'DATA รถถึงเส้นรอง KKN'!C:C,'DATA รถถึงเส้นรอง KKN'!AW:AW)</f>
        <v>#N/A</v>
      </c>
      <c r="N14" s="24" t="e">
        <f>_xlfn.XLOOKUP(E14,'DATA รถถึงเส้นรอง KKN'!C:C,'DATA รถถึงเส้นรอง KKN'!AY:AY)</f>
        <v>#N/A</v>
      </c>
      <c r="O14" s="26" t="e">
        <f t="shared" si="6"/>
        <v>#N/A</v>
      </c>
      <c r="P14" s="24" t="e">
        <f>_xlfn.XLOOKUP(E14,'DATA รถถึงเส้นรอง KKN'!C:C,'DATA รถถึงเส้นรอง KKN'!AZ:AZ)</f>
        <v>#N/A</v>
      </c>
      <c r="Q14" s="60" t="str">
        <f t="shared" si="0"/>
        <v/>
      </c>
      <c r="R14" s="27"/>
      <c r="S14" s="28"/>
      <c r="T14" s="59" t="e">
        <f t="shared" si="1"/>
        <v>#N/A</v>
      </c>
      <c r="V14" s="25" t="e">
        <f t="shared" si="2"/>
        <v>#N/A</v>
      </c>
      <c r="W14" s="25" t="e">
        <f t="shared" si="3"/>
        <v>#N/A</v>
      </c>
      <c r="X14" s="29" t="e">
        <f t="shared" si="4"/>
        <v>#N/A</v>
      </c>
    </row>
    <row r="15" spans="2:24" ht="23.25" customHeight="1">
      <c r="B15" s="20">
        <v>11</v>
      </c>
      <c r="C15" s="58" t="e">
        <f>_xlfn.XLOOKUP(D:D,'DATA รถถึงเส้นรอง KKN'!A:A,'DATA รถถึงเส้นรอง KKN'!B:B)</f>
        <v>#N/A</v>
      </c>
      <c r="D15" s="32" t="e">
        <f>_xlfn.XLOOKUP(E15,'DATA รถถึงเส้นรอง KKN'!C:C,'DATA รถถึงเส้นรอง KKN'!A:A)</f>
        <v>#N/A</v>
      </c>
      <c r="E15" s="32" cm="1">
        <f t="array" ref="E15">INDEX('DATA รถถึงเส้นรอง KKN'!C:C,ROW()-3)</f>
        <v>0</v>
      </c>
      <c r="F15" s="22" t="e">
        <f>_xlfn.XLOOKUP(E15,'DATA รถถึงเส้นรอง KKN'!C:C,'DATA รถถึงเส้นรอง KKN'!O:O)</f>
        <v>#N/A</v>
      </c>
      <c r="G15" s="22" t="e">
        <f>_xlfn.XLOOKUP(E15,'DATA รถถึงเส้นรอง KKN'!C:C,'DATA รถถึงเส้นรอง KKN'!L:L)</f>
        <v>#N/A</v>
      </c>
      <c r="H15" s="22" t="e">
        <f>_xlfn.XLOOKUP(E15,#REF!,#REF!)</f>
        <v>#REF!</v>
      </c>
      <c r="I15" s="22" t="e">
        <f>_xlfn.XLOOKUP(E15,#REF!,#REF!)</f>
        <v>#REF!</v>
      </c>
      <c r="J15" s="23" t="e">
        <f>_xlfn.XLOOKUP(E15,'DATA รถถึงเส้นรอง KKN'!C:C,'DATA รถถึงเส้นรอง KKN'!AP:AP)</f>
        <v>#N/A</v>
      </c>
      <c r="K15" s="24" t="e">
        <f>_xlfn.XLOOKUP(E15,'DATA รถถึงเส้นรอง KKN'!C:C,'DATA รถถึงเส้นรอง KKN'!AV:AV)</f>
        <v>#N/A</v>
      </c>
      <c r="L15" s="25" t="e">
        <f t="shared" si="5"/>
        <v>#N/A</v>
      </c>
      <c r="M15" s="24" t="e">
        <f>_xlfn.XLOOKUP(E15,'DATA รถถึงเส้นรอง KKN'!C:C,'DATA รถถึงเส้นรอง KKN'!AW:AW)</f>
        <v>#N/A</v>
      </c>
      <c r="N15" s="24" t="e">
        <f>_xlfn.XLOOKUP(E15,'DATA รถถึงเส้นรอง KKN'!C:C,'DATA รถถึงเส้นรอง KKN'!AY:AY)</f>
        <v>#N/A</v>
      </c>
      <c r="O15" s="26" t="e">
        <f t="shared" si="6"/>
        <v>#N/A</v>
      </c>
      <c r="P15" s="24" t="e">
        <f>_xlfn.XLOOKUP(E15,'DATA รถถึงเส้นรอง KKN'!C:C,'DATA รถถึงเส้นรอง KKN'!AZ:AZ)</f>
        <v>#N/A</v>
      </c>
      <c r="Q15" s="60" t="str">
        <f t="shared" si="0"/>
        <v/>
      </c>
      <c r="R15" s="27"/>
      <c r="S15" s="28"/>
      <c r="T15" s="59" t="e">
        <f t="shared" si="1"/>
        <v>#N/A</v>
      </c>
      <c r="V15" s="25" t="e">
        <f t="shared" si="2"/>
        <v>#N/A</v>
      </c>
      <c r="W15" s="25" t="e">
        <f t="shared" si="3"/>
        <v>#N/A</v>
      </c>
      <c r="X15" s="29" t="e">
        <f t="shared" si="4"/>
        <v>#N/A</v>
      </c>
    </row>
    <row r="16" spans="2:24" ht="23.25" customHeight="1">
      <c r="B16" s="20">
        <v>12</v>
      </c>
      <c r="C16" s="58" t="e">
        <f>_xlfn.XLOOKUP(D:D,'DATA รถถึงเส้นรอง KKN'!A:A,'DATA รถถึงเส้นรอง KKN'!B:B)</f>
        <v>#N/A</v>
      </c>
      <c r="D16" s="32" t="e">
        <f>_xlfn.XLOOKUP(E16,'DATA รถถึงเส้นรอง KKN'!C:C,'DATA รถถึงเส้นรอง KKN'!A:A)</f>
        <v>#N/A</v>
      </c>
      <c r="E16" s="32" cm="1">
        <f t="array" ref="E16">INDEX('DATA รถถึงเส้นรอง KKN'!C:C,ROW()-3)</f>
        <v>0</v>
      </c>
      <c r="F16" s="22" t="e">
        <f>_xlfn.XLOOKUP(E16,'DATA รถถึงเส้นรอง KKN'!C:C,'DATA รถถึงเส้นรอง KKN'!O:O)</f>
        <v>#N/A</v>
      </c>
      <c r="G16" s="22" t="e">
        <f>_xlfn.XLOOKUP(E16,'DATA รถถึงเส้นรอง KKN'!C:C,'DATA รถถึงเส้นรอง KKN'!L:L)</f>
        <v>#N/A</v>
      </c>
      <c r="H16" s="22" t="e">
        <f>_xlfn.XLOOKUP(E16,#REF!,#REF!)</f>
        <v>#REF!</v>
      </c>
      <c r="I16" s="22" t="e">
        <f>_xlfn.XLOOKUP(E16,#REF!,#REF!)</f>
        <v>#REF!</v>
      </c>
      <c r="J16" s="23" t="e">
        <f>_xlfn.XLOOKUP(E16,'DATA รถถึงเส้นรอง KKN'!C:C,'DATA รถถึงเส้นรอง KKN'!AP:AP)</f>
        <v>#N/A</v>
      </c>
      <c r="K16" s="24" t="e">
        <f>_xlfn.XLOOKUP(E16,'DATA รถถึงเส้นรอง KKN'!C:C,'DATA รถถึงเส้นรอง KKN'!AV:AV)</f>
        <v>#N/A</v>
      </c>
      <c r="L16" s="25" t="e">
        <f t="shared" si="5"/>
        <v>#N/A</v>
      </c>
      <c r="M16" s="24" t="e">
        <f>_xlfn.XLOOKUP(E16,'DATA รถถึงเส้นรอง KKN'!C:C,'DATA รถถึงเส้นรอง KKN'!AW:AW)</f>
        <v>#N/A</v>
      </c>
      <c r="N16" s="24" t="e">
        <f>_xlfn.XLOOKUP(E16,'DATA รถถึงเส้นรอง KKN'!C:C,'DATA รถถึงเส้นรอง KKN'!AY:AY)</f>
        <v>#N/A</v>
      </c>
      <c r="O16" s="26" t="e">
        <f t="shared" si="6"/>
        <v>#N/A</v>
      </c>
      <c r="P16" s="24" t="e">
        <f>_xlfn.XLOOKUP(E16,'DATA รถถึงเส้นรอง KKN'!C:C,'DATA รถถึงเส้นรอง KKN'!AZ:AZ)</f>
        <v>#N/A</v>
      </c>
      <c r="Q16" s="60" t="str">
        <f t="shared" si="0"/>
        <v/>
      </c>
      <c r="R16" s="27"/>
      <c r="S16" s="28"/>
      <c r="T16" s="59" t="e">
        <f t="shared" si="1"/>
        <v>#N/A</v>
      </c>
      <c r="V16" s="25" t="e">
        <f t="shared" si="2"/>
        <v>#N/A</v>
      </c>
      <c r="W16" s="25" t="e">
        <f t="shared" si="3"/>
        <v>#N/A</v>
      </c>
      <c r="X16" s="29" t="e">
        <f t="shared" si="4"/>
        <v>#N/A</v>
      </c>
    </row>
    <row r="17" spans="1:24" ht="23.25" customHeight="1">
      <c r="B17" s="20">
        <v>13</v>
      </c>
      <c r="C17" s="58" t="e">
        <f>_xlfn.XLOOKUP(D:D,'DATA รถถึงเส้นรอง KKN'!A:A,'DATA รถถึงเส้นรอง KKN'!B:B)</f>
        <v>#N/A</v>
      </c>
      <c r="D17" s="32" t="e">
        <f>_xlfn.XLOOKUP(E17,'DATA รถถึงเส้นรอง KKN'!C:C,'DATA รถถึงเส้นรอง KKN'!A:A)</f>
        <v>#N/A</v>
      </c>
      <c r="E17" s="32" cm="1">
        <f t="array" ref="E17">INDEX('DATA รถถึงเส้นรอง KKN'!C:C,ROW()-3)</f>
        <v>0</v>
      </c>
      <c r="F17" s="22" t="e">
        <f>_xlfn.XLOOKUP(E17,'DATA รถถึงเส้นรอง KKN'!C:C,'DATA รถถึงเส้นรอง KKN'!O:O)</f>
        <v>#N/A</v>
      </c>
      <c r="G17" s="22" t="e">
        <f>_xlfn.XLOOKUP(E17,'DATA รถถึงเส้นรอง KKN'!C:C,'DATA รถถึงเส้นรอง KKN'!L:L)</f>
        <v>#N/A</v>
      </c>
      <c r="H17" s="22" t="e">
        <f>_xlfn.XLOOKUP(E17,#REF!,#REF!)</f>
        <v>#REF!</v>
      </c>
      <c r="I17" s="22" t="e">
        <f>_xlfn.XLOOKUP(E17,#REF!,#REF!)</f>
        <v>#REF!</v>
      </c>
      <c r="J17" s="23" t="e">
        <f>_xlfn.XLOOKUP(E17,'DATA รถถึงเส้นรอง KKN'!C:C,'DATA รถถึงเส้นรอง KKN'!AP:AP)</f>
        <v>#N/A</v>
      </c>
      <c r="K17" s="24" t="e">
        <f>_xlfn.XLOOKUP(E17,'DATA รถถึงเส้นรอง KKN'!C:C,'DATA รถถึงเส้นรอง KKN'!AV:AV)</f>
        <v>#N/A</v>
      </c>
      <c r="L17" s="25" t="e">
        <f t="shared" si="5"/>
        <v>#N/A</v>
      </c>
      <c r="M17" s="24" t="e">
        <f>_xlfn.XLOOKUP(E17,'DATA รถถึงเส้นรอง KKN'!C:C,'DATA รถถึงเส้นรอง KKN'!AW:AW)</f>
        <v>#N/A</v>
      </c>
      <c r="N17" s="24" t="e">
        <f>_xlfn.XLOOKUP(E17,'DATA รถถึงเส้นรอง KKN'!C:C,'DATA รถถึงเส้นรอง KKN'!AY:AY)</f>
        <v>#N/A</v>
      </c>
      <c r="O17" s="26" t="e">
        <f t="shared" si="6"/>
        <v>#N/A</v>
      </c>
      <c r="P17" s="24" t="e">
        <f>_xlfn.XLOOKUP(E17,'DATA รถถึงเส้นรอง KKN'!C:C,'DATA รถถึงเส้นรอง KKN'!AZ:AZ)</f>
        <v>#N/A</v>
      </c>
      <c r="Q17" s="60" t="str">
        <f t="shared" si="0"/>
        <v/>
      </c>
      <c r="R17" s="27"/>
      <c r="S17" s="28"/>
      <c r="T17" s="59" t="e">
        <f t="shared" si="1"/>
        <v>#N/A</v>
      </c>
      <c r="V17" s="25" t="e">
        <f t="shared" si="2"/>
        <v>#N/A</v>
      </c>
      <c r="W17" s="25" t="e">
        <f t="shared" si="3"/>
        <v>#N/A</v>
      </c>
      <c r="X17" s="29" t="e">
        <f t="shared" si="4"/>
        <v>#N/A</v>
      </c>
    </row>
    <row r="18" spans="1:24" ht="23.25" customHeight="1">
      <c r="A18" s="30"/>
      <c r="B18" s="20">
        <v>14</v>
      </c>
      <c r="C18" s="58" t="e">
        <f>_xlfn.XLOOKUP(D:D,'DATA รถถึงเส้นรอง KKN'!A:A,'DATA รถถึงเส้นรอง KKN'!B:B)</f>
        <v>#N/A</v>
      </c>
      <c r="D18" s="32" t="e">
        <f>_xlfn.XLOOKUP(E18,'DATA รถถึงเส้นรอง KKN'!C:C,'DATA รถถึงเส้นรอง KKN'!A:A)</f>
        <v>#N/A</v>
      </c>
      <c r="E18" s="32" cm="1">
        <f t="array" ref="E18">INDEX('DATA รถถึงเส้นรอง KKN'!C:C,ROW()-3)</f>
        <v>0</v>
      </c>
      <c r="F18" s="22" t="e">
        <f>_xlfn.XLOOKUP(E18,'DATA รถถึงเส้นรอง KKN'!C:C,'DATA รถถึงเส้นรอง KKN'!O:O)</f>
        <v>#N/A</v>
      </c>
      <c r="G18" s="22" t="e">
        <f>_xlfn.XLOOKUP(E18,'DATA รถถึงเส้นรอง KKN'!C:C,'DATA รถถึงเส้นรอง KKN'!L:L)</f>
        <v>#N/A</v>
      </c>
      <c r="H18" s="22" t="e">
        <f>_xlfn.XLOOKUP(E18,#REF!,#REF!)</f>
        <v>#REF!</v>
      </c>
      <c r="I18" s="22" t="e">
        <f>_xlfn.XLOOKUP(E18,#REF!,#REF!)</f>
        <v>#REF!</v>
      </c>
      <c r="J18" s="23" t="e">
        <f>_xlfn.XLOOKUP(E18,'DATA รถถึงเส้นรอง KKN'!C:C,'DATA รถถึงเส้นรอง KKN'!AP:AP)</f>
        <v>#N/A</v>
      </c>
      <c r="K18" s="24" t="e">
        <f>_xlfn.XLOOKUP(E18,'DATA รถถึงเส้นรอง KKN'!C:C,'DATA รถถึงเส้นรอง KKN'!AV:AV)</f>
        <v>#N/A</v>
      </c>
      <c r="L18" s="25" t="e">
        <f t="shared" si="5"/>
        <v>#N/A</v>
      </c>
      <c r="M18" s="24" t="e">
        <f>_xlfn.XLOOKUP(E18,'DATA รถถึงเส้นรอง KKN'!C:C,'DATA รถถึงเส้นรอง KKN'!AW:AW)</f>
        <v>#N/A</v>
      </c>
      <c r="N18" s="24" t="e">
        <f>_xlfn.XLOOKUP(E18,'DATA รถถึงเส้นรอง KKN'!C:C,'DATA รถถึงเส้นรอง KKN'!AY:AY)</f>
        <v>#N/A</v>
      </c>
      <c r="O18" s="26" t="e">
        <f t="shared" si="6"/>
        <v>#N/A</v>
      </c>
      <c r="P18" s="24" t="e">
        <f>_xlfn.XLOOKUP(E18,'DATA รถถึงเส้นรอง KKN'!C:C,'DATA รถถึงเส้นรอง KKN'!AZ:AZ)</f>
        <v>#N/A</v>
      </c>
      <c r="Q18" s="60" t="str">
        <f t="shared" si="0"/>
        <v/>
      </c>
      <c r="R18" s="27"/>
      <c r="S18" s="28"/>
      <c r="T18" s="59" t="e">
        <f t="shared" si="1"/>
        <v>#N/A</v>
      </c>
      <c r="V18" s="25" t="e">
        <f t="shared" si="2"/>
        <v>#N/A</v>
      </c>
      <c r="W18" s="25" t="e">
        <f t="shared" si="3"/>
        <v>#N/A</v>
      </c>
      <c r="X18" s="29" t="e">
        <f t="shared" si="4"/>
        <v>#N/A</v>
      </c>
    </row>
    <row r="19" spans="1:24" ht="23.25" customHeight="1">
      <c r="A19" s="30"/>
      <c r="B19" s="20">
        <v>15</v>
      </c>
      <c r="C19" s="58" t="e">
        <f>_xlfn.XLOOKUP(D:D,'DATA รถถึงเส้นรอง KKN'!A:A,'DATA รถถึงเส้นรอง KKN'!B:B)</f>
        <v>#N/A</v>
      </c>
      <c r="D19" s="32" t="e">
        <f>_xlfn.XLOOKUP(E19,'DATA รถถึงเส้นรอง KKN'!C:C,'DATA รถถึงเส้นรอง KKN'!A:A)</f>
        <v>#N/A</v>
      </c>
      <c r="E19" s="32" cm="1">
        <f t="array" ref="E19">INDEX('DATA รถถึงเส้นรอง KKN'!C:C,ROW()-3)</f>
        <v>0</v>
      </c>
      <c r="F19" s="22" t="e">
        <f>_xlfn.XLOOKUP(E19,'DATA รถถึงเส้นรอง KKN'!C:C,'DATA รถถึงเส้นรอง KKN'!O:O)</f>
        <v>#N/A</v>
      </c>
      <c r="G19" s="22" t="e">
        <f>_xlfn.XLOOKUP(E19,'DATA รถถึงเส้นรอง KKN'!C:C,'DATA รถถึงเส้นรอง KKN'!L:L)</f>
        <v>#N/A</v>
      </c>
      <c r="H19" s="22" t="e">
        <f>_xlfn.XLOOKUP(E19,#REF!,#REF!)</f>
        <v>#REF!</v>
      </c>
      <c r="I19" s="22" t="e">
        <f>_xlfn.XLOOKUP(E19,#REF!,#REF!)</f>
        <v>#REF!</v>
      </c>
      <c r="J19" s="23" t="e">
        <f>_xlfn.XLOOKUP(E19,'DATA รถถึงเส้นรอง KKN'!C:C,'DATA รถถึงเส้นรอง KKN'!AP:AP)</f>
        <v>#N/A</v>
      </c>
      <c r="K19" s="24" t="e">
        <f>_xlfn.XLOOKUP(E19,'DATA รถถึงเส้นรอง KKN'!C:C,'DATA รถถึงเส้นรอง KKN'!AV:AV)</f>
        <v>#N/A</v>
      </c>
      <c r="L19" s="25" t="e">
        <f t="shared" si="5"/>
        <v>#N/A</v>
      </c>
      <c r="M19" s="24" t="e">
        <f>_xlfn.XLOOKUP(E19,'DATA รถถึงเส้นรอง KKN'!C:C,'DATA รถถึงเส้นรอง KKN'!AW:AW)</f>
        <v>#N/A</v>
      </c>
      <c r="N19" s="24" t="e">
        <f>_xlfn.XLOOKUP(E19,'DATA รถถึงเส้นรอง KKN'!C:C,'DATA รถถึงเส้นรอง KKN'!AY:AY)</f>
        <v>#N/A</v>
      </c>
      <c r="O19" s="26" t="e">
        <f t="shared" si="6"/>
        <v>#N/A</v>
      </c>
      <c r="P19" s="24" t="e">
        <f>_xlfn.XLOOKUP(E19,'DATA รถถึงเส้นรอง KKN'!C:C,'DATA รถถึงเส้นรอง KKN'!AZ:AZ)</f>
        <v>#N/A</v>
      </c>
      <c r="Q19" s="60" t="str">
        <f t="shared" si="0"/>
        <v/>
      </c>
      <c r="R19" s="27"/>
      <c r="S19" s="28"/>
      <c r="T19" s="59" t="e">
        <f t="shared" si="1"/>
        <v>#N/A</v>
      </c>
      <c r="V19" s="25" t="e">
        <f t="shared" si="2"/>
        <v>#N/A</v>
      </c>
      <c r="W19" s="25" t="e">
        <f t="shared" si="3"/>
        <v>#N/A</v>
      </c>
      <c r="X19" s="29" t="e">
        <f t="shared" si="4"/>
        <v>#N/A</v>
      </c>
    </row>
    <row r="20" spans="1:24" ht="20.25">
      <c r="B20" s="20">
        <v>16</v>
      </c>
      <c r="C20" s="58" t="e">
        <f>_xlfn.XLOOKUP(D:D,'DATA รถถึงเส้นรอง KKN'!A:A,'DATA รถถึงเส้นรอง KKN'!B:B)</f>
        <v>#N/A</v>
      </c>
      <c r="D20" s="32" t="e">
        <f>_xlfn.XLOOKUP(E20,'DATA รถถึงเส้นรอง KKN'!C:C,'DATA รถถึงเส้นรอง KKN'!A:A)</f>
        <v>#N/A</v>
      </c>
      <c r="E20" s="32" cm="1">
        <f t="array" ref="E20">INDEX('DATA รถถึงเส้นรอง KKN'!C:C,ROW()-3)</f>
        <v>0</v>
      </c>
      <c r="F20" s="22" t="e">
        <f>_xlfn.XLOOKUP(E20,'DATA รถถึงเส้นรอง KKN'!C:C,'DATA รถถึงเส้นรอง KKN'!O:O)</f>
        <v>#N/A</v>
      </c>
      <c r="G20" s="22" t="e">
        <f>_xlfn.XLOOKUP(E20,'DATA รถถึงเส้นรอง KKN'!C:C,'DATA รถถึงเส้นรอง KKN'!L:L)</f>
        <v>#N/A</v>
      </c>
      <c r="H20" s="22" t="e">
        <f>_xlfn.XLOOKUP(E20,#REF!,#REF!)</f>
        <v>#REF!</v>
      </c>
      <c r="I20" s="22" t="e">
        <f>_xlfn.XLOOKUP(E20,#REF!,#REF!)</f>
        <v>#REF!</v>
      </c>
      <c r="J20" s="23" t="e">
        <f>_xlfn.XLOOKUP(E20,'DATA รถถึงเส้นรอง KKN'!C:C,'DATA รถถึงเส้นรอง KKN'!AP:AP)</f>
        <v>#N/A</v>
      </c>
      <c r="K20" s="24" t="e">
        <f>_xlfn.XLOOKUP(E20,'DATA รถถึงเส้นรอง KKN'!C:C,'DATA รถถึงเส้นรอง KKN'!AV:AV)</f>
        <v>#N/A</v>
      </c>
      <c r="L20" s="25" t="e">
        <f t="shared" si="5"/>
        <v>#N/A</v>
      </c>
      <c r="M20" s="24" t="e">
        <f>_xlfn.XLOOKUP(E20,'DATA รถถึงเส้นรอง KKN'!C:C,'DATA รถถึงเส้นรอง KKN'!AW:AW)</f>
        <v>#N/A</v>
      </c>
      <c r="N20" s="24" t="e">
        <f>_xlfn.XLOOKUP(E20,'DATA รถถึงเส้นรอง KKN'!C:C,'DATA รถถึงเส้นรอง KKN'!AY:AY)</f>
        <v>#N/A</v>
      </c>
      <c r="O20" s="26" t="e">
        <f t="shared" si="6"/>
        <v>#N/A</v>
      </c>
      <c r="P20" s="24" t="e">
        <f>_xlfn.XLOOKUP(E20,'DATA รถถึงเส้นรอง KKN'!C:C,'DATA รถถึงเส้นรอง KKN'!AZ:AZ)</f>
        <v>#N/A</v>
      </c>
      <c r="Q20" s="60" t="str">
        <f t="shared" si="0"/>
        <v/>
      </c>
      <c r="R20" s="27"/>
      <c r="S20" s="28"/>
      <c r="T20" s="59" t="e">
        <f t="shared" si="1"/>
        <v>#N/A</v>
      </c>
      <c r="V20" s="25" t="e">
        <f t="shared" si="2"/>
        <v>#N/A</v>
      </c>
      <c r="W20" s="25" t="e">
        <f t="shared" si="3"/>
        <v>#N/A</v>
      </c>
      <c r="X20" s="29" t="e">
        <f t="shared" si="4"/>
        <v>#N/A</v>
      </c>
    </row>
    <row r="21" spans="1:24" ht="20.25">
      <c r="B21" s="20">
        <v>17</v>
      </c>
      <c r="C21" s="58" t="e">
        <f>_xlfn.XLOOKUP(D:D,'DATA รถถึงเส้นรอง KKN'!A:A,'DATA รถถึงเส้นรอง KKN'!B:B)</f>
        <v>#N/A</v>
      </c>
      <c r="D21" s="32" t="e">
        <f>_xlfn.XLOOKUP(E21,'DATA รถถึงเส้นรอง KKN'!C:C,'DATA รถถึงเส้นรอง KKN'!A:A)</f>
        <v>#N/A</v>
      </c>
      <c r="E21" s="32" cm="1">
        <f t="array" ref="E21">INDEX('DATA รถถึงเส้นรอง KKN'!C:C,ROW()-3)</f>
        <v>0</v>
      </c>
      <c r="F21" s="22" t="e">
        <f>_xlfn.XLOOKUP(E21,'DATA รถถึงเส้นรอง KKN'!C:C,'DATA รถถึงเส้นรอง KKN'!O:O)</f>
        <v>#N/A</v>
      </c>
      <c r="G21" s="22" t="e">
        <f>_xlfn.XLOOKUP(E21,'DATA รถถึงเส้นรอง KKN'!C:C,'DATA รถถึงเส้นรอง KKN'!L:L)</f>
        <v>#N/A</v>
      </c>
      <c r="H21" s="22" t="e">
        <f>_xlfn.XLOOKUP(E21,#REF!,#REF!)</f>
        <v>#REF!</v>
      </c>
      <c r="I21" s="22" t="e">
        <f>_xlfn.XLOOKUP(E21,#REF!,#REF!)</f>
        <v>#REF!</v>
      </c>
      <c r="J21" s="23" t="e">
        <f>_xlfn.XLOOKUP(E21,'DATA รถถึงเส้นรอง KKN'!C:C,'DATA รถถึงเส้นรอง KKN'!AP:AP)</f>
        <v>#N/A</v>
      </c>
      <c r="K21" s="24" t="e">
        <f>_xlfn.XLOOKUP(E21,'DATA รถถึงเส้นรอง KKN'!C:C,'DATA รถถึงเส้นรอง KKN'!AV:AV)</f>
        <v>#N/A</v>
      </c>
      <c r="L21" s="25" t="e">
        <f t="shared" si="5"/>
        <v>#N/A</v>
      </c>
      <c r="M21" s="24" t="e">
        <f>_xlfn.XLOOKUP(E21,'DATA รถถึงเส้นรอง KKN'!C:C,'DATA รถถึงเส้นรอง KKN'!AW:AW)</f>
        <v>#N/A</v>
      </c>
      <c r="N21" s="24" t="e">
        <f>_xlfn.XLOOKUP(E21,'DATA รถถึงเส้นรอง KKN'!C:C,'DATA รถถึงเส้นรอง KKN'!AY:AY)</f>
        <v>#N/A</v>
      </c>
      <c r="O21" s="26" t="e">
        <f t="shared" si="6"/>
        <v>#N/A</v>
      </c>
      <c r="P21" s="24" t="e">
        <f>_xlfn.XLOOKUP(E21,'DATA รถถึงเส้นรอง KKN'!C:C,'DATA รถถึงเส้นรอง KKN'!AZ:AZ)</f>
        <v>#N/A</v>
      </c>
      <c r="Q21" s="60" t="str">
        <f t="shared" si="0"/>
        <v/>
      </c>
      <c r="R21" s="27"/>
      <c r="S21" s="28"/>
      <c r="T21" s="59" t="e">
        <f t="shared" si="1"/>
        <v>#N/A</v>
      </c>
      <c r="V21" s="25" t="e">
        <f t="shared" si="2"/>
        <v>#N/A</v>
      </c>
      <c r="W21" s="25" t="e">
        <f t="shared" si="3"/>
        <v>#N/A</v>
      </c>
      <c r="X21" s="29" t="e">
        <f t="shared" si="4"/>
        <v>#N/A</v>
      </c>
    </row>
    <row r="22" spans="1:24" ht="23.25" customHeight="1">
      <c r="B22" s="20">
        <v>18</v>
      </c>
      <c r="C22" s="58" t="e">
        <f>_xlfn.XLOOKUP(D:D,'DATA รถถึงเส้นรอง KKN'!A:A,'DATA รถถึงเส้นรอง KKN'!B:B)</f>
        <v>#N/A</v>
      </c>
      <c r="D22" s="32" t="e">
        <f>_xlfn.XLOOKUP(E22,'DATA รถถึงเส้นรอง KKN'!C:C,'DATA รถถึงเส้นรอง KKN'!A:A)</f>
        <v>#N/A</v>
      </c>
      <c r="E22" s="32" cm="1">
        <f t="array" ref="E22">INDEX('DATA รถถึงเส้นรอง KKN'!C:C,ROW()-3)</f>
        <v>0</v>
      </c>
      <c r="F22" s="22" t="e">
        <f>_xlfn.XLOOKUP(E22,'DATA รถถึงเส้นรอง KKN'!C:C,'DATA รถถึงเส้นรอง KKN'!O:O)</f>
        <v>#N/A</v>
      </c>
      <c r="G22" s="22" t="e">
        <f>_xlfn.XLOOKUP(E22,'DATA รถถึงเส้นรอง KKN'!C:C,'DATA รถถึงเส้นรอง KKN'!L:L)</f>
        <v>#N/A</v>
      </c>
      <c r="H22" s="22" t="e">
        <f>_xlfn.XLOOKUP(E22,#REF!,#REF!)</f>
        <v>#REF!</v>
      </c>
      <c r="I22" s="22" t="e">
        <f>_xlfn.XLOOKUP(E22,#REF!,#REF!)</f>
        <v>#REF!</v>
      </c>
      <c r="J22" s="23" t="e">
        <f>_xlfn.XLOOKUP(E22,'DATA รถถึงเส้นรอง KKN'!C:C,'DATA รถถึงเส้นรอง KKN'!AP:AP)</f>
        <v>#N/A</v>
      </c>
      <c r="K22" s="24" t="e">
        <f>_xlfn.XLOOKUP(E22,'DATA รถถึงเส้นรอง KKN'!C:C,'DATA รถถึงเส้นรอง KKN'!AV:AV)</f>
        <v>#N/A</v>
      </c>
      <c r="L22" s="25" t="e">
        <f t="shared" si="5"/>
        <v>#N/A</v>
      </c>
      <c r="M22" s="24" t="e">
        <f>_xlfn.XLOOKUP(E22,'DATA รถถึงเส้นรอง KKN'!C:C,'DATA รถถึงเส้นรอง KKN'!AW:AW)</f>
        <v>#N/A</v>
      </c>
      <c r="N22" s="24" t="e">
        <f>_xlfn.XLOOKUP(E22,'DATA รถถึงเส้นรอง KKN'!C:C,'DATA รถถึงเส้นรอง KKN'!AY:AY)</f>
        <v>#N/A</v>
      </c>
      <c r="O22" s="26" t="e">
        <f t="shared" si="6"/>
        <v>#N/A</v>
      </c>
      <c r="P22" s="24" t="e">
        <f>_xlfn.XLOOKUP(E22,'DATA รถถึงเส้นรอง KKN'!C:C,'DATA รถถึงเส้นรอง KKN'!AZ:AZ)</f>
        <v>#N/A</v>
      </c>
      <c r="Q22" s="60" t="str">
        <f t="shared" si="0"/>
        <v/>
      </c>
      <c r="R22" s="27"/>
      <c r="S22" s="28"/>
      <c r="T22" s="59" t="e">
        <f t="shared" si="1"/>
        <v>#N/A</v>
      </c>
      <c r="V22" s="25" t="e">
        <f t="shared" si="2"/>
        <v>#N/A</v>
      </c>
      <c r="W22" s="25" t="e">
        <f t="shared" si="3"/>
        <v>#N/A</v>
      </c>
      <c r="X22" s="29" t="e">
        <f t="shared" si="4"/>
        <v>#N/A</v>
      </c>
    </row>
    <row r="23" spans="1:24" ht="23.25" customHeight="1">
      <c r="B23" s="20">
        <v>19</v>
      </c>
      <c r="C23" s="58" t="e">
        <f>_xlfn.XLOOKUP(D:D,'DATA รถถึงเส้นรอง KKN'!A:A,'DATA รถถึงเส้นรอง KKN'!B:B)</f>
        <v>#N/A</v>
      </c>
      <c r="D23" s="32" t="e">
        <f>_xlfn.XLOOKUP(E23,'DATA รถถึงเส้นรอง KKN'!C:C,'DATA รถถึงเส้นรอง KKN'!A:A)</f>
        <v>#N/A</v>
      </c>
      <c r="E23" s="32" cm="1">
        <f t="array" ref="E23">INDEX('DATA รถถึงเส้นรอง KKN'!C:C,ROW()-3)</f>
        <v>0</v>
      </c>
      <c r="F23" s="22" t="e">
        <f>_xlfn.XLOOKUP(E23,'DATA รถถึงเส้นรอง KKN'!C:C,'DATA รถถึงเส้นรอง KKN'!O:O)</f>
        <v>#N/A</v>
      </c>
      <c r="G23" s="22" t="e">
        <f>_xlfn.XLOOKUP(E23,'DATA รถถึงเส้นรอง KKN'!C:C,'DATA รถถึงเส้นรอง KKN'!L:L)</f>
        <v>#N/A</v>
      </c>
      <c r="H23" s="22" t="e">
        <f>_xlfn.XLOOKUP(E23,#REF!,#REF!)</f>
        <v>#REF!</v>
      </c>
      <c r="I23" s="22" t="e">
        <f>_xlfn.XLOOKUP(E23,#REF!,#REF!)</f>
        <v>#REF!</v>
      </c>
      <c r="J23" s="23" t="e">
        <f>_xlfn.XLOOKUP(E23,'DATA รถถึงเส้นรอง KKN'!C:C,'DATA รถถึงเส้นรอง KKN'!AP:AP)</f>
        <v>#N/A</v>
      </c>
      <c r="K23" s="24" t="e">
        <f>_xlfn.XLOOKUP(E23,'DATA รถถึงเส้นรอง KKN'!C:C,'DATA รถถึงเส้นรอง KKN'!AV:AV)</f>
        <v>#N/A</v>
      </c>
      <c r="L23" s="25" t="e">
        <f t="shared" si="5"/>
        <v>#N/A</v>
      </c>
      <c r="M23" s="24" t="e">
        <f>_xlfn.XLOOKUP(E23,'DATA รถถึงเส้นรอง KKN'!C:C,'DATA รถถึงเส้นรอง KKN'!AW:AW)</f>
        <v>#N/A</v>
      </c>
      <c r="N23" s="24" t="e">
        <f>_xlfn.XLOOKUP(E23,'DATA รถถึงเส้นรอง KKN'!C:C,'DATA รถถึงเส้นรอง KKN'!AY:AY)</f>
        <v>#N/A</v>
      </c>
      <c r="O23" s="26" t="e">
        <f t="shared" si="6"/>
        <v>#N/A</v>
      </c>
      <c r="P23" s="24" t="e">
        <f>_xlfn.XLOOKUP(E23,'DATA รถถึงเส้นรอง KKN'!C:C,'DATA รถถึงเส้นรอง KKN'!AZ:AZ)</f>
        <v>#N/A</v>
      </c>
      <c r="Q23" s="60" t="str">
        <f t="shared" si="0"/>
        <v/>
      </c>
      <c r="R23" s="27"/>
      <c r="S23" s="28"/>
      <c r="T23" s="59" t="e">
        <f t="shared" si="1"/>
        <v>#N/A</v>
      </c>
      <c r="V23" s="25" t="e">
        <f t="shared" si="2"/>
        <v>#N/A</v>
      </c>
      <c r="W23" s="25" t="e">
        <f t="shared" si="3"/>
        <v>#N/A</v>
      </c>
      <c r="X23" s="29" t="e">
        <f t="shared" si="4"/>
        <v>#N/A</v>
      </c>
    </row>
    <row r="24" spans="1:24" ht="23.25" customHeight="1">
      <c r="B24" s="31">
        <v>20</v>
      </c>
      <c r="C24" s="58" t="e">
        <f>_xlfn.XLOOKUP(D:D,'DATA รถถึงเส้นรอง KKN'!A:A,'DATA รถถึงเส้นรอง KKN'!B:B)</f>
        <v>#N/A</v>
      </c>
      <c r="D24" s="32" t="e">
        <f>_xlfn.XLOOKUP(E24,'DATA รถถึงเส้นรอง KKN'!C:C,'DATA รถถึงเส้นรอง KKN'!A:A)</f>
        <v>#N/A</v>
      </c>
      <c r="E24" s="32" cm="1">
        <f t="array" ref="E24">INDEX('DATA รถถึงเส้นรอง KKN'!C:C,ROW()-3)</f>
        <v>0</v>
      </c>
      <c r="F24" s="22" t="e">
        <f>_xlfn.XLOOKUP(E24,'DATA รถถึงเส้นรอง KKN'!C:C,'DATA รถถึงเส้นรอง KKN'!O:O)</f>
        <v>#N/A</v>
      </c>
      <c r="G24" s="22" t="e">
        <f>_xlfn.XLOOKUP(E24,'DATA รถถึงเส้นรอง KKN'!C:C,'DATA รถถึงเส้นรอง KKN'!L:L)</f>
        <v>#N/A</v>
      </c>
      <c r="H24" s="22" t="e">
        <f>_xlfn.XLOOKUP(E24,#REF!,#REF!)</f>
        <v>#REF!</v>
      </c>
      <c r="I24" s="22" t="e">
        <f>_xlfn.XLOOKUP(E24,#REF!,#REF!)</f>
        <v>#REF!</v>
      </c>
      <c r="J24" s="23" t="e">
        <f>_xlfn.XLOOKUP(E24,'DATA รถถึงเส้นรอง KKN'!C:C,'DATA รถถึงเส้นรอง KKN'!AP:AP)</f>
        <v>#N/A</v>
      </c>
      <c r="K24" s="24" t="e">
        <f>_xlfn.XLOOKUP(E24,'DATA รถถึงเส้นรอง KKN'!C:C,'DATA รถถึงเส้นรอง KKN'!AV:AV)</f>
        <v>#N/A</v>
      </c>
      <c r="L24" s="25" t="e">
        <f t="shared" si="5"/>
        <v>#N/A</v>
      </c>
      <c r="M24" s="24" t="e">
        <f>_xlfn.XLOOKUP(E24,'DATA รถถึงเส้นรอง KKN'!C:C,'DATA รถถึงเส้นรอง KKN'!AW:AW)</f>
        <v>#N/A</v>
      </c>
      <c r="N24" s="24" t="e">
        <f>_xlfn.XLOOKUP(E24,'DATA รถถึงเส้นรอง KKN'!C:C,'DATA รถถึงเส้นรอง KKN'!AY:AY)</f>
        <v>#N/A</v>
      </c>
      <c r="O24" s="26" t="e">
        <f t="shared" si="6"/>
        <v>#N/A</v>
      </c>
      <c r="P24" s="24" t="e">
        <f>_xlfn.XLOOKUP(E24,'DATA รถถึงเส้นรอง KKN'!C:C,'DATA รถถึงเส้นรอง KKN'!AZ:AZ)</f>
        <v>#N/A</v>
      </c>
      <c r="Q24" s="60" t="str">
        <f t="shared" si="0"/>
        <v/>
      </c>
      <c r="R24" s="27"/>
      <c r="S24" s="28"/>
      <c r="T24" s="59" t="e">
        <f t="shared" si="1"/>
        <v>#N/A</v>
      </c>
      <c r="V24" s="25" t="e">
        <f t="shared" si="2"/>
        <v>#N/A</v>
      </c>
      <c r="W24" s="25" t="e">
        <f t="shared" si="3"/>
        <v>#N/A</v>
      </c>
      <c r="X24" s="29" t="e">
        <f t="shared" si="4"/>
        <v>#N/A</v>
      </c>
    </row>
    <row r="25" spans="1:24" ht="23.25" customHeight="1">
      <c r="B25" s="31">
        <v>21</v>
      </c>
      <c r="C25" s="58" t="e">
        <f>_xlfn.XLOOKUP(D:D,'DATA รถถึงเส้นรอง KKN'!A:A,'DATA รถถึงเส้นรอง KKN'!B:B)</f>
        <v>#N/A</v>
      </c>
      <c r="D25" s="32" t="e">
        <f>_xlfn.XLOOKUP(E25,'DATA รถถึงเส้นรอง KKN'!C:C,'DATA รถถึงเส้นรอง KKN'!A:A)</f>
        <v>#N/A</v>
      </c>
      <c r="E25" s="32" cm="1">
        <f t="array" ref="E25">INDEX('DATA รถถึงเส้นรอง KKN'!C:C,ROW()-3)</f>
        <v>0</v>
      </c>
      <c r="F25" s="22" t="e">
        <f>_xlfn.XLOOKUP(E25,'DATA รถถึงเส้นรอง KKN'!C:C,'DATA รถถึงเส้นรอง KKN'!O:O)</f>
        <v>#N/A</v>
      </c>
      <c r="G25" s="22" t="e">
        <f>_xlfn.XLOOKUP(E25,'DATA รถถึงเส้นรอง KKN'!C:C,'DATA รถถึงเส้นรอง KKN'!L:L)</f>
        <v>#N/A</v>
      </c>
      <c r="H25" s="22" t="e">
        <f>_xlfn.XLOOKUP(E25,#REF!,#REF!)</f>
        <v>#REF!</v>
      </c>
      <c r="I25" s="22" t="e">
        <f>_xlfn.XLOOKUP(E25,#REF!,#REF!)</f>
        <v>#REF!</v>
      </c>
      <c r="J25" s="23" t="e">
        <f>_xlfn.XLOOKUP(E25,'DATA รถถึงเส้นรอง KKN'!C:C,'DATA รถถึงเส้นรอง KKN'!AP:AP)</f>
        <v>#N/A</v>
      </c>
      <c r="K25" s="24" t="e">
        <f>_xlfn.XLOOKUP(E25,'DATA รถถึงเส้นรอง KKN'!C:C,'DATA รถถึงเส้นรอง KKN'!AV:AV)</f>
        <v>#N/A</v>
      </c>
      <c r="L25" s="25" t="e">
        <f t="shared" si="5"/>
        <v>#N/A</v>
      </c>
      <c r="M25" s="24" t="e">
        <f>_xlfn.XLOOKUP(E25,'DATA รถถึงเส้นรอง KKN'!C:C,'DATA รถถึงเส้นรอง KKN'!AW:AW)</f>
        <v>#N/A</v>
      </c>
      <c r="N25" s="24" t="e">
        <f>_xlfn.XLOOKUP(E25,'DATA รถถึงเส้นรอง KKN'!C:C,'DATA รถถึงเส้นรอง KKN'!AY:AY)</f>
        <v>#N/A</v>
      </c>
      <c r="O25" s="26" t="e">
        <f t="shared" si="6"/>
        <v>#N/A</v>
      </c>
      <c r="P25" s="24" t="e">
        <f>_xlfn.XLOOKUP(E25,'DATA รถถึงเส้นรอง KKN'!C:C,'DATA รถถึงเส้นรอง KKN'!AZ:AZ)</f>
        <v>#N/A</v>
      </c>
      <c r="Q25" s="60" t="str">
        <f t="shared" si="0"/>
        <v/>
      </c>
      <c r="R25" s="27"/>
      <c r="S25" s="28"/>
      <c r="T25" s="59" t="e">
        <f t="shared" si="1"/>
        <v>#N/A</v>
      </c>
      <c r="V25" s="25" t="e">
        <f t="shared" si="2"/>
        <v>#N/A</v>
      </c>
      <c r="W25" s="25" t="e">
        <f t="shared" si="3"/>
        <v>#N/A</v>
      </c>
      <c r="X25" s="29" t="e">
        <f t="shared" si="4"/>
        <v>#N/A</v>
      </c>
    </row>
    <row r="26" spans="1:24" ht="23.25" customHeight="1">
      <c r="B26" s="31">
        <v>22</v>
      </c>
      <c r="C26" s="58" t="e">
        <f>_xlfn.XLOOKUP(D:D,'DATA รถถึงเส้นรอง KKN'!A:A,'DATA รถถึงเส้นรอง KKN'!B:B)</f>
        <v>#N/A</v>
      </c>
      <c r="D26" s="32" t="e">
        <f>_xlfn.XLOOKUP(E26,'DATA รถถึงเส้นรอง KKN'!C:C,'DATA รถถึงเส้นรอง KKN'!A:A)</f>
        <v>#N/A</v>
      </c>
      <c r="E26" s="32" cm="1">
        <f t="array" ref="E26">INDEX('DATA รถถึงเส้นรอง KKN'!C:C,ROW()-3)</f>
        <v>0</v>
      </c>
      <c r="F26" s="22" t="e">
        <f>_xlfn.XLOOKUP(E26,'DATA รถถึงเส้นรอง KKN'!C:C,'DATA รถถึงเส้นรอง KKN'!O:O)</f>
        <v>#N/A</v>
      </c>
      <c r="G26" s="22" t="e">
        <f>_xlfn.XLOOKUP(E26,'DATA รถถึงเส้นรอง KKN'!C:C,'DATA รถถึงเส้นรอง KKN'!L:L)</f>
        <v>#N/A</v>
      </c>
      <c r="H26" s="22" t="e">
        <f>_xlfn.XLOOKUP(E26,#REF!,#REF!)</f>
        <v>#REF!</v>
      </c>
      <c r="I26" s="22" t="e">
        <f>_xlfn.XLOOKUP(E26,#REF!,#REF!)</f>
        <v>#REF!</v>
      </c>
      <c r="J26" s="23" t="e">
        <f>_xlfn.XLOOKUP(E26,'DATA รถถึงเส้นรอง KKN'!C:C,'DATA รถถึงเส้นรอง KKN'!AP:AP)</f>
        <v>#N/A</v>
      </c>
      <c r="K26" s="24" t="e">
        <f>_xlfn.XLOOKUP(E26,'DATA รถถึงเส้นรอง KKN'!C:C,'DATA รถถึงเส้นรอง KKN'!AV:AV)</f>
        <v>#N/A</v>
      </c>
      <c r="L26" s="25" t="e">
        <f t="shared" si="5"/>
        <v>#N/A</v>
      </c>
      <c r="M26" s="24" t="e">
        <f>_xlfn.XLOOKUP(E26,'DATA รถถึงเส้นรอง KKN'!C:C,'DATA รถถึงเส้นรอง KKN'!AW:AW)</f>
        <v>#N/A</v>
      </c>
      <c r="N26" s="24" t="e">
        <f>_xlfn.XLOOKUP(E26,'DATA รถถึงเส้นรอง KKN'!C:C,'DATA รถถึงเส้นรอง KKN'!AY:AY)</f>
        <v>#N/A</v>
      </c>
      <c r="O26" s="26" t="e">
        <f t="shared" si="6"/>
        <v>#N/A</v>
      </c>
      <c r="P26" s="24" t="e">
        <f>_xlfn.XLOOKUP(E26,'DATA รถถึงเส้นรอง KKN'!C:C,'DATA รถถึงเส้นรอง KKN'!AZ:AZ)</f>
        <v>#N/A</v>
      </c>
      <c r="Q26" s="60" t="str">
        <f t="shared" si="0"/>
        <v/>
      </c>
      <c r="R26" s="27"/>
      <c r="S26" s="28"/>
      <c r="T26" s="59" t="e">
        <f t="shared" si="1"/>
        <v>#N/A</v>
      </c>
      <c r="V26" s="25" t="e">
        <f t="shared" si="2"/>
        <v>#N/A</v>
      </c>
      <c r="W26" s="25" t="e">
        <f t="shared" si="3"/>
        <v>#N/A</v>
      </c>
      <c r="X26" s="29" t="e">
        <f t="shared" si="4"/>
        <v>#N/A</v>
      </c>
    </row>
    <row r="27" spans="1:24" ht="23.25" customHeight="1">
      <c r="B27" s="31">
        <v>23</v>
      </c>
      <c r="C27" s="58" t="e">
        <f>_xlfn.XLOOKUP(D:D,'DATA รถถึงเส้นรอง KKN'!A:A,'DATA รถถึงเส้นรอง KKN'!B:B)</f>
        <v>#N/A</v>
      </c>
      <c r="D27" s="32" t="e">
        <f>_xlfn.XLOOKUP(E27,'DATA รถถึงเส้นรอง KKN'!C:C,'DATA รถถึงเส้นรอง KKN'!A:A)</f>
        <v>#N/A</v>
      </c>
      <c r="E27" s="32" cm="1">
        <f t="array" ref="E27">INDEX('DATA รถถึงเส้นรอง KKN'!C:C,ROW()-3)</f>
        <v>0</v>
      </c>
      <c r="F27" s="22" t="e">
        <f>_xlfn.XLOOKUP(E27,'DATA รถถึงเส้นรอง KKN'!C:C,'DATA รถถึงเส้นรอง KKN'!O:O)</f>
        <v>#N/A</v>
      </c>
      <c r="G27" s="22" t="e">
        <f>_xlfn.XLOOKUP(E27,'DATA รถถึงเส้นรอง KKN'!C:C,'DATA รถถึงเส้นรอง KKN'!L:L)</f>
        <v>#N/A</v>
      </c>
      <c r="H27" s="22" t="e">
        <f>_xlfn.XLOOKUP(E27,#REF!,#REF!)</f>
        <v>#REF!</v>
      </c>
      <c r="I27" s="22" t="e">
        <f>_xlfn.XLOOKUP(E27,#REF!,#REF!)</f>
        <v>#REF!</v>
      </c>
      <c r="J27" s="23" t="e">
        <f>_xlfn.XLOOKUP(E27,'DATA รถถึงเส้นรอง KKN'!C:C,'DATA รถถึงเส้นรอง KKN'!AP:AP)</f>
        <v>#N/A</v>
      </c>
      <c r="K27" s="24" t="e">
        <f>_xlfn.XLOOKUP(E27,'DATA รถถึงเส้นรอง KKN'!C:C,'DATA รถถึงเส้นรอง KKN'!AV:AV)</f>
        <v>#N/A</v>
      </c>
      <c r="L27" s="25" t="e">
        <f t="shared" si="5"/>
        <v>#N/A</v>
      </c>
      <c r="M27" s="24" t="e">
        <f>_xlfn.XLOOKUP(E27,'DATA รถถึงเส้นรอง KKN'!C:C,'DATA รถถึงเส้นรอง KKN'!AW:AW)</f>
        <v>#N/A</v>
      </c>
      <c r="N27" s="24" t="e">
        <f>_xlfn.XLOOKUP(E27,'DATA รถถึงเส้นรอง KKN'!C:C,'DATA รถถึงเส้นรอง KKN'!AY:AY)</f>
        <v>#N/A</v>
      </c>
      <c r="O27" s="26" t="e">
        <f t="shared" si="6"/>
        <v>#N/A</v>
      </c>
      <c r="P27" s="24" t="e">
        <f>_xlfn.XLOOKUP(E27,'DATA รถถึงเส้นรอง KKN'!C:C,'DATA รถถึงเส้นรอง KKN'!AZ:AZ)</f>
        <v>#N/A</v>
      </c>
      <c r="Q27" s="60" t="str">
        <f t="shared" si="0"/>
        <v/>
      </c>
      <c r="R27" s="27"/>
      <c r="S27" s="28"/>
      <c r="T27" s="59" t="e">
        <f t="shared" si="1"/>
        <v>#N/A</v>
      </c>
      <c r="V27" s="25" t="e">
        <f t="shared" si="2"/>
        <v>#N/A</v>
      </c>
      <c r="W27" s="25" t="e">
        <f t="shared" si="3"/>
        <v>#N/A</v>
      </c>
      <c r="X27" s="29" t="e">
        <f t="shared" si="4"/>
        <v>#N/A</v>
      </c>
    </row>
    <row r="28" spans="1:24" ht="23.25" customHeight="1">
      <c r="B28" s="31">
        <v>24</v>
      </c>
      <c r="C28" s="58" t="e">
        <f>_xlfn.XLOOKUP(D:D,'DATA รถถึงเส้นรอง KKN'!A:A,'DATA รถถึงเส้นรอง KKN'!B:B)</f>
        <v>#N/A</v>
      </c>
      <c r="D28" s="32" t="e">
        <f>_xlfn.XLOOKUP(E28,'DATA รถถึงเส้นรอง KKN'!C:C,'DATA รถถึงเส้นรอง KKN'!A:A)</f>
        <v>#N/A</v>
      </c>
      <c r="E28" s="32" cm="1">
        <f t="array" ref="E28">INDEX('DATA รถถึงเส้นรอง KKN'!C:C,ROW()-3)</f>
        <v>0</v>
      </c>
      <c r="F28" s="22" t="e">
        <f>_xlfn.XLOOKUP(E28,'DATA รถถึงเส้นรอง KKN'!C:C,'DATA รถถึงเส้นรอง KKN'!O:O)</f>
        <v>#N/A</v>
      </c>
      <c r="G28" s="22" t="e">
        <f>_xlfn.XLOOKUP(E28,'DATA รถถึงเส้นรอง KKN'!C:C,'DATA รถถึงเส้นรอง KKN'!L:L)</f>
        <v>#N/A</v>
      </c>
      <c r="H28" s="22" t="e">
        <f>_xlfn.XLOOKUP(E28,#REF!,#REF!)</f>
        <v>#REF!</v>
      </c>
      <c r="I28" s="22" t="e">
        <f>_xlfn.XLOOKUP(E28,#REF!,#REF!)</f>
        <v>#REF!</v>
      </c>
      <c r="J28" s="23" t="e">
        <f>_xlfn.XLOOKUP(E28,'DATA รถถึงเส้นรอง KKN'!C:C,'DATA รถถึงเส้นรอง KKN'!AP:AP)</f>
        <v>#N/A</v>
      </c>
      <c r="K28" s="24" t="e">
        <f>_xlfn.XLOOKUP(E28,'DATA รถถึงเส้นรอง KKN'!C:C,'DATA รถถึงเส้นรอง KKN'!AV:AV)</f>
        <v>#N/A</v>
      </c>
      <c r="L28" s="25" t="e">
        <f t="shared" si="5"/>
        <v>#N/A</v>
      </c>
      <c r="M28" s="24" t="e">
        <f>_xlfn.XLOOKUP(E28,'DATA รถถึงเส้นรอง KKN'!C:C,'DATA รถถึงเส้นรอง KKN'!AW:AW)</f>
        <v>#N/A</v>
      </c>
      <c r="N28" s="24" t="e">
        <f>_xlfn.XLOOKUP(E28,'DATA รถถึงเส้นรอง KKN'!C:C,'DATA รถถึงเส้นรอง KKN'!AY:AY)</f>
        <v>#N/A</v>
      </c>
      <c r="O28" s="26" t="e">
        <f t="shared" si="6"/>
        <v>#N/A</v>
      </c>
      <c r="P28" s="24" t="e">
        <f>_xlfn.XLOOKUP(E28,'DATA รถถึงเส้นรอง KKN'!C:C,'DATA รถถึงเส้นรอง KKN'!AZ:AZ)</f>
        <v>#N/A</v>
      </c>
      <c r="Q28" s="60" t="str">
        <f t="shared" si="0"/>
        <v/>
      </c>
      <c r="R28" s="27"/>
      <c r="S28" s="28"/>
      <c r="T28" s="59" t="e">
        <f t="shared" si="1"/>
        <v>#N/A</v>
      </c>
      <c r="V28" s="25" t="e">
        <f t="shared" si="2"/>
        <v>#N/A</v>
      </c>
      <c r="W28" s="25" t="e">
        <f t="shared" si="3"/>
        <v>#N/A</v>
      </c>
      <c r="X28" s="29" t="e">
        <f t="shared" si="4"/>
        <v>#N/A</v>
      </c>
    </row>
    <row r="29" spans="1:24" ht="23.25" customHeight="1">
      <c r="B29" s="31">
        <v>25</v>
      </c>
      <c r="C29" s="58" t="e">
        <f>_xlfn.XLOOKUP(D:D,'DATA รถถึงเส้นรอง KKN'!A:A,'DATA รถถึงเส้นรอง KKN'!B:B)</f>
        <v>#N/A</v>
      </c>
      <c r="D29" s="32" t="e">
        <f>_xlfn.XLOOKUP(E29,'DATA รถถึงเส้นรอง KKN'!C:C,'DATA รถถึงเส้นรอง KKN'!A:A)</f>
        <v>#N/A</v>
      </c>
      <c r="E29" s="32" cm="1">
        <f t="array" ref="E29">INDEX('DATA รถถึงเส้นรอง KKN'!C:C,ROW()-3)</f>
        <v>0</v>
      </c>
      <c r="F29" s="22" t="e">
        <f>_xlfn.XLOOKUP(E29,'DATA รถถึงเส้นรอง KKN'!C:C,'DATA รถถึงเส้นรอง KKN'!O:O)</f>
        <v>#N/A</v>
      </c>
      <c r="G29" s="22" t="e">
        <f>_xlfn.XLOOKUP(E29,'DATA รถถึงเส้นรอง KKN'!C:C,'DATA รถถึงเส้นรอง KKN'!L:L)</f>
        <v>#N/A</v>
      </c>
      <c r="H29" s="22" t="e">
        <f>_xlfn.XLOOKUP(E29,#REF!,#REF!)</f>
        <v>#REF!</v>
      </c>
      <c r="I29" s="22" t="e">
        <f>_xlfn.XLOOKUP(E29,#REF!,#REF!)</f>
        <v>#REF!</v>
      </c>
      <c r="J29" s="23" t="e">
        <f>_xlfn.XLOOKUP(E29,'DATA รถถึงเส้นรอง KKN'!C:C,'DATA รถถึงเส้นรอง KKN'!AP:AP)</f>
        <v>#N/A</v>
      </c>
      <c r="K29" s="24" t="e">
        <f>_xlfn.XLOOKUP(E29,'DATA รถถึงเส้นรอง KKN'!C:C,'DATA รถถึงเส้นรอง KKN'!AV:AV)</f>
        <v>#N/A</v>
      </c>
      <c r="L29" s="25" t="e">
        <f t="shared" si="5"/>
        <v>#N/A</v>
      </c>
      <c r="M29" s="24" t="e">
        <f>_xlfn.XLOOKUP(E29,'DATA รถถึงเส้นรอง KKN'!C:C,'DATA รถถึงเส้นรอง KKN'!AW:AW)</f>
        <v>#N/A</v>
      </c>
      <c r="N29" s="24" t="e">
        <f>_xlfn.XLOOKUP(E29,'DATA รถถึงเส้นรอง KKN'!C:C,'DATA รถถึงเส้นรอง KKN'!AY:AY)</f>
        <v>#N/A</v>
      </c>
      <c r="O29" s="26" t="e">
        <f t="shared" si="6"/>
        <v>#N/A</v>
      </c>
      <c r="P29" s="24" t="e">
        <f>_xlfn.XLOOKUP(E29,'DATA รถถึงเส้นรอง KKN'!C:C,'DATA รถถึงเส้นรอง KKN'!AZ:AZ)</f>
        <v>#N/A</v>
      </c>
      <c r="Q29" s="60" t="str">
        <f t="shared" si="0"/>
        <v/>
      </c>
      <c r="R29" s="27"/>
      <c r="S29" s="28"/>
      <c r="T29" s="59" t="e">
        <f t="shared" si="1"/>
        <v>#N/A</v>
      </c>
      <c r="V29" s="25" t="e">
        <f t="shared" si="2"/>
        <v>#N/A</v>
      </c>
      <c r="W29" s="25" t="e">
        <f t="shared" si="3"/>
        <v>#N/A</v>
      </c>
      <c r="X29" s="29" t="e">
        <f t="shared" si="4"/>
        <v>#N/A</v>
      </c>
    </row>
    <row r="30" spans="1:24" ht="23.25" customHeight="1">
      <c r="B30" s="31">
        <v>26</v>
      </c>
      <c r="C30" s="58" t="e">
        <f>_xlfn.XLOOKUP(D:D,'DATA รถถึงเส้นรอง KKN'!A:A,'DATA รถถึงเส้นรอง KKN'!B:B)</f>
        <v>#N/A</v>
      </c>
      <c r="D30" s="32" t="e">
        <f>_xlfn.XLOOKUP(E30,'DATA รถถึงเส้นรอง KKN'!C:C,'DATA รถถึงเส้นรอง KKN'!A:A)</f>
        <v>#N/A</v>
      </c>
      <c r="E30" s="32" cm="1">
        <f t="array" ref="E30">INDEX('DATA รถถึงเส้นรอง KKN'!C:C,ROW()-3)</f>
        <v>0</v>
      </c>
      <c r="F30" s="22" t="e">
        <f>_xlfn.XLOOKUP(E30,'DATA รถถึงเส้นรอง KKN'!C:C,'DATA รถถึงเส้นรอง KKN'!O:O)</f>
        <v>#N/A</v>
      </c>
      <c r="G30" s="22" t="e">
        <f>_xlfn.XLOOKUP(E30,'DATA รถถึงเส้นรอง KKN'!C:C,'DATA รถถึงเส้นรอง KKN'!L:L)</f>
        <v>#N/A</v>
      </c>
      <c r="H30" s="22" t="e">
        <f>_xlfn.XLOOKUP(E30,#REF!,#REF!)</f>
        <v>#REF!</v>
      </c>
      <c r="I30" s="22" t="e">
        <f>_xlfn.XLOOKUP(E30,#REF!,#REF!)</f>
        <v>#REF!</v>
      </c>
      <c r="J30" s="23" t="e">
        <f>_xlfn.XLOOKUP(E30,'DATA รถถึงเส้นรอง KKN'!C:C,'DATA รถถึงเส้นรอง KKN'!AP:AP)</f>
        <v>#N/A</v>
      </c>
      <c r="K30" s="24" t="e">
        <f>_xlfn.XLOOKUP(E30,'DATA รถถึงเส้นรอง KKN'!C:C,'DATA รถถึงเส้นรอง KKN'!AV:AV)</f>
        <v>#N/A</v>
      </c>
      <c r="L30" s="25" t="e">
        <f t="shared" si="5"/>
        <v>#N/A</v>
      </c>
      <c r="M30" s="24" t="e">
        <f>_xlfn.XLOOKUP(E30,'DATA รถถึงเส้นรอง KKN'!C:C,'DATA รถถึงเส้นรอง KKN'!AW:AW)</f>
        <v>#N/A</v>
      </c>
      <c r="N30" s="24" t="e">
        <f>_xlfn.XLOOKUP(E30,'DATA รถถึงเส้นรอง KKN'!C:C,'DATA รถถึงเส้นรอง KKN'!AY:AY)</f>
        <v>#N/A</v>
      </c>
      <c r="O30" s="26" t="e">
        <f t="shared" si="6"/>
        <v>#N/A</v>
      </c>
      <c r="P30" s="24" t="e">
        <f>_xlfn.XLOOKUP(E30,'DATA รถถึงเส้นรอง KKN'!C:C,'DATA รถถึงเส้นรอง KKN'!AZ:AZ)</f>
        <v>#N/A</v>
      </c>
      <c r="Q30" s="60" t="str">
        <f t="shared" si="0"/>
        <v/>
      </c>
      <c r="R30" s="27"/>
      <c r="S30" s="28"/>
      <c r="T30" s="59" t="e">
        <f t="shared" si="1"/>
        <v>#N/A</v>
      </c>
      <c r="V30" s="25" t="e">
        <f t="shared" si="2"/>
        <v>#N/A</v>
      </c>
      <c r="W30" s="25" t="e">
        <f t="shared" si="3"/>
        <v>#N/A</v>
      </c>
      <c r="X30" s="29" t="e">
        <f t="shared" si="4"/>
        <v>#N/A</v>
      </c>
    </row>
    <row r="31" spans="1:24" ht="23.25" customHeight="1">
      <c r="B31" s="31">
        <v>27</v>
      </c>
      <c r="C31" s="58" t="e">
        <f>_xlfn.XLOOKUP(D:D,'DATA รถถึงเส้นรอง KKN'!A:A,'DATA รถถึงเส้นรอง KKN'!B:B)</f>
        <v>#N/A</v>
      </c>
      <c r="D31" s="32" t="e">
        <f>_xlfn.XLOOKUP(E31,'DATA รถถึงเส้นรอง KKN'!C:C,'DATA รถถึงเส้นรอง KKN'!A:A)</f>
        <v>#N/A</v>
      </c>
      <c r="E31" s="32" cm="1">
        <f t="array" ref="E31">INDEX('DATA รถถึงเส้นรอง KKN'!C:C,ROW()-3)</f>
        <v>0</v>
      </c>
      <c r="F31" s="22" t="e">
        <f>_xlfn.XLOOKUP(E31,'DATA รถถึงเส้นรอง KKN'!C:C,'DATA รถถึงเส้นรอง KKN'!O:O)</f>
        <v>#N/A</v>
      </c>
      <c r="G31" s="22" t="e">
        <f>_xlfn.XLOOKUP(E31,'DATA รถถึงเส้นรอง KKN'!C:C,'DATA รถถึงเส้นรอง KKN'!L:L)</f>
        <v>#N/A</v>
      </c>
      <c r="H31" s="22" t="e">
        <f>_xlfn.XLOOKUP(E31,#REF!,#REF!)</f>
        <v>#REF!</v>
      </c>
      <c r="I31" s="22" t="e">
        <f>_xlfn.XLOOKUP(E31,#REF!,#REF!)</f>
        <v>#REF!</v>
      </c>
      <c r="J31" s="23" t="e">
        <f>_xlfn.XLOOKUP(E31,'DATA รถถึงเส้นรอง KKN'!C:C,'DATA รถถึงเส้นรอง KKN'!AP:AP)</f>
        <v>#N/A</v>
      </c>
      <c r="K31" s="24" t="e">
        <f>_xlfn.XLOOKUP(E31,'DATA รถถึงเส้นรอง KKN'!C:C,'DATA รถถึงเส้นรอง KKN'!AV:AV)</f>
        <v>#N/A</v>
      </c>
      <c r="L31" s="25" t="e">
        <f t="shared" si="5"/>
        <v>#N/A</v>
      </c>
      <c r="M31" s="24" t="e">
        <f>_xlfn.XLOOKUP(E31,'DATA รถถึงเส้นรอง KKN'!C:C,'DATA รถถึงเส้นรอง KKN'!AW:AW)</f>
        <v>#N/A</v>
      </c>
      <c r="N31" s="24" t="e">
        <f>_xlfn.XLOOKUP(E31,'DATA รถถึงเส้นรอง KKN'!C:C,'DATA รถถึงเส้นรอง KKN'!AY:AY)</f>
        <v>#N/A</v>
      </c>
      <c r="O31" s="26" t="e">
        <f t="shared" si="6"/>
        <v>#N/A</v>
      </c>
      <c r="P31" s="24" t="e">
        <f>_xlfn.XLOOKUP(E31,'DATA รถถึงเส้นรอง KKN'!C:C,'DATA รถถึงเส้นรอง KKN'!AZ:AZ)</f>
        <v>#N/A</v>
      </c>
      <c r="Q31" s="60" t="str">
        <f t="shared" si="0"/>
        <v/>
      </c>
      <c r="R31" s="27"/>
      <c r="S31" s="28"/>
      <c r="T31" s="59" t="e">
        <f t="shared" si="1"/>
        <v>#N/A</v>
      </c>
      <c r="V31" s="25" t="e">
        <f t="shared" si="2"/>
        <v>#N/A</v>
      </c>
      <c r="W31" s="25" t="e">
        <f t="shared" si="3"/>
        <v>#N/A</v>
      </c>
      <c r="X31" s="29" t="e">
        <f t="shared" si="4"/>
        <v>#N/A</v>
      </c>
    </row>
    <row r="32" spans="1:24" ht="23.25" customHeight="1">
      <c r="B32" s="31">
        <v>28</v>
      </c>
      <c r="C32" s="58" t="e">
        <f>_xlfn.XLOOKUP(D:D,'DATA รถถึงเส้นรอง KKN'!A:A,'DATA รถถึงเส้นรอง KKN'!B:B)</f>
        <v>#N/A</v>
      </c>
      <c r="D32" s="32" t="e">
        <f>_xlfn.XLOOKUP(E32,'DATA รถถึงเส้นรอง KKN'!C:C,'DATA รถถึงเส้นรอง KKN'!A:A)</f>
        <v>#N/A</v>
      </c>
      <c r="E32" s="32" cm="1">
        <f t="array" ref="E32">INDEX('DATA รถถึงเส้นรอง KKN'!C:C,ROW()-3)</f>
        <v>0</v>
      </c>
      <c r="F32" s="22" t="e">
        <f>_xlfn.XLOOKUP(E32,'DATA รถถึงเส้นรอง KKN'!C:C,'DATA รถถึงเส้นรอง KKN'!O:O)</f>
        <v>#N/A</v>
      </c>
      <c r="G32" s="22" t="e">
        <f>_xlfn.XLOOKUP(E32,'DATA รถถึงเส้นรอง KKN'!C:C,'DATA รถถึงเส้นรอง KKN'!L:L)</f>
        <v>#N/A</v>
      </c>
      <c r="H32" s="22" t="e">
        <f>_xlfn.XLOOKUP(E32,#REF!,#REF!)</f>
        <v>#REF!</v>
      </c>
      <c r="I32" s="22" t="e">
        <f>_xlfn.XLOOKUP(E32,#REF!,#REF!)</f>
        <v>#REF!</v>
      </c>
      <c r="J32" s="23" t="e">
        <f>_xlfn.XLOOKUP(E32,'DATA รถถึงเส้นรอง KKN'!C:C,'DATA รถถึงเส้นรอง KKN'!AP:AP)</f>
        <v>#N/A</v>
      </c>
      <c r="K32" s="24" t="e">
        <f>_xlfn.XLOOKUP(E32,'DATA รถถึงเส้นรอง KKN'!C:C,'DATA รถถึงเส้นรอง KKN'!AV:AV)</f>
        <v>#N/A</v>
      </c>
      <c r="L32" s="25" t="e">
        <f t="shared" si="5"/>
        <v>#N/A</v>
      </c>
      <c r="M32" s="24" t="e">
        <f>_xlfn.XLOOKUP(E32,'DATA รถถึงเส้นรอง KKN'!C:C,'DATA รถถึงเส้นรอง KKN'!AW:AW)</f>
        <v>#N/A</v>
      </c>
      <c r="N32" s="24" t="e">
        <f>_xlfn.XLOOKUP(E32,'DATA รถถึงเส้นรอง KKN'!C:C,'DATA รถถึงเส้นรอง KKN'!AY:AY)</f>
        <v>#N/A</v>
      </c>
      <c r="O32" s="26" t="e">
        <f t="shared" si="6"/>
        <v>#N/A</v>
      </c>
      <c r="P32" s="24" t="e">
        <f>_xlfn.XLOOKUP(E32,'DATA รถถึงเส้นรอง KKN'!C:C,'DATA รถถึงเส้นรอง KKN'!AZ:AZ)</f>
        <v>#N/A</v>
      </c>
      <c r="Q32" s="60" t="str">
        <f t="shared" si="0"/>
        <v/>
      </c>
      <c r="R32" s="27"/>
      <c r="S32" s="28"/>
      <c r="T32" s="59" t="e">
        <f t="shared" si="1"/>
        <v>#N/A</v>
      </c>
      <c r="V32" s="25" t="e">
        <f t="shared" si="2"/>
        <v>#N/A</v>
      </c>
      <c r="W32" s="25" t="e">
        <f t="shared" si="3"/>
        <v>#N/A</v>
      </c>
      <c r="X32" s="29" t="e">
        <f t="shared" si="4"/>
        <v>#N/A</v>
      </c>
    </row>
    <row r="33" spans="1:24" ht="23.25" customHeight="1">
      <c r="A33" s="3"/>
      <c r="B33" s="31">
        <v>29</v>
      </c>
      <c r="C33" s="58" t="e">
        <f>_xlfn.XLOOKUP(D:D,'DATA รถถึงเส้นรอง KKN'!A:A,'DATA รถถึงเส้นรอง KKN'!B:B)</f>
        <v>#N/A</v>
      </c>
      <c r="D33" s="32" t="e">
        <f>_xlfn.XLOOKUP(E33,'DATA รถถึงเส้นรอง KKN'!C:C,'DATA รถถึงเส้นรอง KKN'!A:A)</f>
        <v>#N/A</v>
      </c>
      <c r="E33" s="32" cm="1">
        <f t="array" ref="E33">INDEX('DATA รถถึงเส้นรอง KKN'!C:C,ROW()-3)</f>
        <v>0</v>
      </c>
      <c r="F33" s="22" t="e">
        <f>_xlfn.XLOOKUP(E33,'DATA รถถึงเส้นรอง KKN'!C:C,'DATA รถถึงเส้นรอง KKN'!O:O)</f>
        <v>#N/A</v>
      </c>
      <c r="G33" s="22" t="e">
        <f>_xlfn.XLOOKUP(E33,'DATA รถถึงเส้นรอง KKN'!C:C,'DATA รถถึงเส้นรอง KKN'!L:L)</f>
        <v>#N/A</v>
      </c>
      <c r="H33" s="22" t="e">
        <f>_xlfn.XLOOKUP(E33,#REF!,#REF!)</f>
        <v>#REF!</v>
      </c>
      <c r="I33" s="22" t="e">
        <f>_xlfn.XLOOKUP(E33,#REF!,#REF!)</f>
        <v>#REF!</v>
      </c>
      <c r="J33" s="23" t="e">
        <f>_xlfn.XLOOKUP(E33,'DATA รถถึงเส้นรอง KKN'!C:C,'DATA รถถึงเส้นรอง KKN'!AP:AP)</f>
        <v>#N/A</v>
      </c>
      <c r="K33" s="24" t="e">
        <f>_xlfn.XLOOKUP(E33,'DATA รถถึงเส้นรอง KKN'!C:C,'DATA รถถึงเส้นรอง KKN'!AV:AV)</f>
        <v>#N/A</v>
      </c>
      <c r="L33" s="25" t="e">
        <f t="shared" si="5"/>
        <v>#N/A</v>
      </c>
      <c r="M33" s="24" t="e">
        <f>_xlfn.XLOOKUP(E33,'DATA รถถึงเส้นรอง KKN'!C:C,'DATA รถถึงเส้นรอง KKN'!AW:AW)</f>
        <v>#N/A</v>
      </c>
      <c r="N33" s="24" t="e">
        <f>_xlfn.XLOOKUP(E33,'DATA รถถึงเส้นรอง KKN'!C:C,'DATA รถถึงเส้นรอง KKN'!AY:AY)</f>
        <v>#N/A</v>
      </c>
      <c r="O33" s="26" t="e">
        <f t="shared" si="6"/>
        <v>#N/A</v>
      </c>
      <c r="P33" s="24" t="e">
        <f>_xlfn.XLOOKUP(E33,'DATA รถถึงเส้นรอง KKN'!C:C,'DATA รถถึงเส้นรอง KKN'!AZ:AZ)</f>
        <v>#N/A</v>
      </c>
      <c r="Q33" s="60" t="str">
        <f t="shared" si="0"/>
        <v/>
      </c>
      <c r="R33" s="27"/>
      <c r="S33" s="28"/>
      <c r="T33" s="59" t="e">
        <f t="shared" si="1"/>
        <v>#N/A</v>
      </c>
      <c r="V33" s="25" t="e">
        <f t="shared" si="2"/>
        <v>#N/A</v>
      </c>
      <c r="W33" s="25" t="e">
        <f t="shared" si="3"/>
        <v>#N/A</v>
      </c>
      <c r="X33" s="29" t="e">
        <f t="shared" si="4"/>
        <v>#N/A</v>
      </c>
    </row>
    <row r="34" spans="1:24" ht="23.25" customHeight="1">
      <c r="B34" s="31">
        <v>30</v>
      </c>
      <c r="C34" s="58" t="e">
        <f>_xlfn.XLOOKUP(D:D,'DATA รถถึงเส้นรอง KKN'!A:A,'DATA รถถึงเส้นรอง KKN'!B:B)</f>
        <v>#N/A</v>
      </c>
      <c r="D34" s="32" t="e">
        <f>_xlfn.XLOOKUP(E34,'DATA รถถึงเส้นรอง KKN'!C:C,'DATA รถถึงเส้นรอง KKN'!A:A)</f>
        <v>#N/A</v>
      </c>
      <c r="E34" s="32" cm="1">
        <f t="array" ref="E34">INDEX('DATA รถถึงเส้นรอง KKN'!C:C,ROW()-3)</f>
        <v>0</v>
      </c>
      <c r="F34" s="22" t="e">
        <f>_xlfn.XLOOKUP(E34,'DATA รถถึงเส้นรอง KKN'!C:C,'DATA รถถึงเส้นรอง KKN'!O:O)</f>
        <v>#N/A</v>
      </c>
      <c r="G34" s="22" t="e">
        <f>_xlfn.XLOOKUP(E34,'DATA รถถึงเส้นรอง KKN'!C:C,'DATA รถถึงเส้นรอง KKN'!L:L)</f>
        <v>#N/A</v>
      </c>
      <c r="H34" s="22" t="e">
        <f>_xlfn.XLOOKUP(E34,#REF!,#REF!)</f>
        <v>#REF!</v>
      </c>
      <c r="I34" s="22" t="e">
        <f>_xlfn.XLOOKUP(E34,#REF!,#REF!)</f>
        <v>#REF!</v>
      </c>
      <c r="J34" s="23" t="e">
        <f>_xlfn.XLOOKUP(E34,'DATA รถถึงเส้นรอง KKN'!C:C,'DATA รถถึงเส้นรอง KKN'!AP:AP)</f>
        <v>#N/A</v>
      </c>
      <c r="K34" s="24" t="e">
        <f>_xlfn.XLOOKUP(E34,'DATA รถถึงเส้นรอง KKN'!C:C,'DATA รถถึงเส้นรอง KKN'!AV:AV)</f>
        <v>#N/A</v>
      </c>
      <c r="L34" s="25" t="e">
        <f t="shared" si="5"/>
        <v>#N/A</v>
      </c>
      <c r="M34" s="24" t="e">
        <f>_xlfn.XLOOKUP(E34,'DATA รถถึงเส้นรอง KKN'!C:C,'DATA รถถึงเส้นรอง KKN'!AW:AW)</f>
        <v>#N/A</v>
      </c>
      <c r="N34" s="24" t="e">
        <f>_xlfn.XLOOKUP(E34,'DATA รถถึงเส้นรอง KKN'!C:C,'DATA รถถึงเส้นรอง KKN'!AY:AY)</f>
        <v>#N/A</v>
      </c>
      <c r="O34" s="26" t="e">
        <f t="shared" si="6"/>
        <v>#N/A</v>
      </c>
      <c r="P34" s="24" t="e">
        <f>_xlfn.XLOOKUP(E34,'DATA รถถึงเส้นรอง KKN'!C:C,'DATA รถถึงเส้นรอง KKN'!AZ:AZ)</f>
        <v>#N/A</v>
      </c>
      <c r="Q34" s="60" t="str">
        <f t="shared" si="0"/>
        <v/>
      </c>
      <c r="R34" s="27"/>
      <c r="S34" s="28"/>
      <c r="T34" s="59" t="e">
        <f t="shared" si="1"/>
        <v>#N/A</v>
      </c>
      <c r="V34" s="25" t="e">
        <f t="shared" si="2"/>
        <v>#N/A</v>
      </c>
      <c r="W34" s="25" t="e">
        <f t="shared" si="3"/>
        <v>#N/A</v>
      </c>
      <c r="X34" s="29" t="e">
        <f t="shared" si="4"/>
        <v>#N/A</v>
      </c>
    </row>
    <row r="35" spans="1:24" ht="20.25">
      <c r="B35" s="31">
        <v>31</v>
      </c>
      <c r="C35" s="58" t="e">
        <f>_xlfn.XLOOKUP(D:D,'DATA รถถึงเส้นรอง KKN'!A:A,'DATA รถถึงเส้นรอง KKN'!B:B)</f>
        <v>#N/A</v>
      </c>
      <c r="D35" s="32" t="e">
        <f>_xlfn.XLOOKUP(E35,'DATA รถถึงเส้นรอง KKN'!C:C,'DATA รถถึงเส้นรอง KKN'!A:A)</f>
        <v>#N/A</v>
      </c>
      <c r="E35" s="32" cm="1">
        <f t="array" ref="E35">INDEX('DATA รถถึงเส้นรอง KKN'!C:C,ROW()-3)</f>
        <v>0</v>
      </c>
      <c r="F35" s="22" t="e">
        <f>_xlfn.XLOOKUP(E35,'DATA รถถึงเส้นรอง KKN'!C:C,'DATA รถถึงเส้นรอง KKN'!O:O)</f>
        <v>#N/A</v>
      </c>
      <c r="G35" s="22" t="e">
        <f>_xlfn.XLOOKUP(E35,'DATA รถถึงเส้นรอง KKN'!C:C,'DATA รถถึงเส้นรอง KKN'!L:L)</f>
        <v>#N/A</v>
      </c>
      <c r="H35" s="22" t="e">
        <f>_xlfn.XLOOKUP(E35,#REF!,#REF!)</f>
        <v>#REF!</v>
      </c>
      <c r="I35" s="22" t="e">
        <f>_xlfn.XLOOKUP(E35,#REF!,#REF!)</f>
        <v>#REF!</v>
      </c>
      <c r="J35" s="23" t="e">
        <f>_xlfn.XLOOKUP(E35,'DATA รถถึงเส้นรอง KKN'!C:C,'DATA รถถึงเส้นรอง KKN'!AP:AP)</f>
        <v>#N/A</v>
      </c>
      <c r="K35" s="24" t="e">
        <f>_xlfn.XLOOKUP(E35,'DATA รถถึงเส้นรอง KKN'!C:C,'DATA รถถึงเส้นรอง KKN'!AV:AV)</f>
        <v>#N/A</v>
      </c>
      <c r="L35" s="25" t="e">
        <f t="shared" si="5"/>
        <v>#N/A</v>
      </c>
      <c r="M35" s="24" t="e">
        <f>_xlfn.XLOOKUP(E35,'DATA รถถึงเส้นรอง KKN'!C:C,'DATA รถถึงเส้นรอง KKN'!AW:AW)</f>
        <v>#N/A</v>
      </c>
      <c r="N35" s="24" t="e">
        <f>_xlfn.XLOOKUP(E35,'DATA รถถึงเส้นรอง KKN'!C:C,'DATA รถถึงเส้นรอง KKN'!AY:AY)</f>
        <v>#N/A</v>
      </c>
      <c r="O35" s="26" t="e">
        <f t="shared" si="6"/>
        <v>#N/A</v>
      </c>
      <c r="P35" s="24" t="e">
        <f>_xlfn.XLOOKUP(E35,'DATA รถถึงเส้นรอง KKN'!C:C,'DATA รถถึงเส้นรอง KKN'!AZ:AZ)</f>
        <v>#N/A</v>
      </c>
      <c r="Q35" s="60" t="str">
        <f t="shared" si="0"/>
        <v/>
      </c>
      <c r="R35" s="27"/>
      <c r="S35" s="28"/>
      <c r="T35" s="59" t="e">
        <f t="shared" si="1"/>
        <v>#N/A</v>
      </c>
      <c r="V35" s="25" t="e">
        <f t="shared" si="2"/>
        <v>#N/A</v>
      </c>
      <c r="W35" s="25" t="e">
        <f t="shared" si="3"/>
        <v>#N/A</v>
      </c>
      <c r="X35" s="29" t="e">
        <f t="shared" si="4"/>
        <v>#N/A</v>
      </c>
    </row>
    <row r="36" spans="1:24" ht="20.25">
      <c r="B36" s="31">
        <v>32</v>
      </c>
      <c r="C36" s="58" t="e">
        <f>_xlfn.XLOOKUP(D:D,'DATA รถถึงเส้นรอง KKN'!A:A,'DATA รถถึงเส้นรอง KKN'!B:B)</f>
        <v>#N/A</v>
      </c>
      <c r="D36" s="32" t="e">
        <f>_xlfn.XLOOKUP(E36,'DATA รถถึงเส้นรอง KKN'!C:C,'DATA รถถึงเส้นรอง KKN'!A:A)</f>
        <v>#N/A</v>
      </c>
      <c r="E36" s="32" cm="1">
        <f t="array" ref="E36">INDEX('DATA รถถึงเส้นรอง KKN'!C:C,ROW()-3)</f>
        <v>0</v>
      </c>
      <c r="F36" s="22" t="e">
        <f>_xlfn.XLOOKUP(E36,'DATA รถถึงเส้นรอง KKN'!C:C,'DATA รถถึงเส้นรอง KKN'!O:O)</f>
        <v>#N/A</v>
      </c>
      <c r="G36" s="22" t="e">
        <f>_xlfn.XLOOKUP(E36,'DATA รถถึงเส้นรอง KKN'!C:C,'DATA รถถึงเส้นรอง KKN'!L:L)</f>
        <v>#N/A</v>
      </c>
      <c r="H36" s="22" t="e">
        <f>_xlfn.XLOOKUP(E36,#REF!,#REF!)</f>
        <v>#REF!</v>
      </c>
      <c r="I36" s="22" t="e">
        <f>_xlfn.XLOOKUP(E36,#REF!,#REF!)</f>
        <v>#REF!</v>
      </c>
      <c r="J36" s="23" t="e">
        <f>_xlfn.XLOOKUP(E36,'DATA รถถึงเส้นรอง KKN'!C:C,'DATA รถถึงเส้นรอง KKN'!AP:AP)</f>
        <v>#N/A</v>
      </c>
      <c r="K36" s="24" t="e">
        <f>_xlfn.XLOOKUP(E36,'DATA รถถึงเส้นรอง KKN'!C:C,'DATA รถถึงเส้นรอง KKN'!AV:AV)</f>
        <v>#N/A</v>
      </c>
      <c r="L36" s="25" t="e">
        <f t="shared" si="5"/>
        <v>#N/A</v>
      </c>
      <c r="M36" s="24" t="e">
        <f>_xlfn.XLOOKUP(E36,'DATA รถถึงเส้นรอง KKN'!C:C,'DATA รถถึงเส้นรอง KKN'!AW:AW)</f>
        <v>#N/A</v>
      </c>
      <c r="N36" s="24" t="e">
        <f>_xlfn.XLOOKUP(E36,'DATA รถถึงเส้นรอง KKN'!C:C,'DATA รถถึงเส้นรอง KKN'!AY:AY)</f>
        <v>#N/A</v>
      </c>
      <c r="O36" s="26" t="e">
        <f t="shared" si="6"/>
        <v>#N/A</v>
      </c>
      <c r="P36" s="24" t="e">
        <f>_xlfn.XLOOKUP(E36,'DATA รถถึงเส้นรอง KKN'!C:C,'DATA รถถึงเส้นรอง KKN'!AZ:AZ)</f>
        <v>#N/A</v>
      </c>
      <c r="Q36" s="60" t="str">
        <f t="shared" si="0"/>
        <v/>
      </c>
      <c r="R36" s="27"/>
      <c r="S36" s="28"/>
      <c r="T36" s="59" t="e">
        <f t="shared" si="1"/>
        <v>#N/A</v>
      </c>
      <c r="V36" s="25" t="e">
        <f t="shared" si="2"/>
        <v>#N/A</v>
      </c>
      <c r="W36" s="25" t="e">
        <f t="shared" si="3"/>
        <v>#N/A</v>
      </c>
      <c r="X36" s="29" t="e">
        <f t="shared" si="4"/>
        <v>#N/A</v>
      </c>
    </row>
    <row r="37" spans="1:24" ht="20.25">
      <c r="B37" s="31">
        <v>33</v>
      </c>
      <c r="C37" s="58" t="e">
        <f>_xlfn.XLOOKUP(D:D,'DATA รถถึงเส้นรอง KKN'!A:A,'DATA รถถึงเส้นรอง KKN'!B:B)</f>
        <v>#N/A</v>
      </c>
      <c r="D37" s="32" t="e">
        <f>_xlfn.XLOOKUP(E37,'DATA รถถึงเส้นรอง KKN'!C:C,'DATA รถถึงเส้นรอง KKN'!A:A)</f>
        <v>#N/A</v>
      </c>
      <c r="E37" s="32" cm="1">
        <f t="array" ref="E37">INDEX('DATA รถถึงเส้นรอง KKN'!C:C,ROW()-3)</f>
        <v>0</v>
      </c>
      <c r="F37" s="22" t="e">
        <f>_xlfn.XLOOKUP(E37,'DATA รถถึงเส้นรอง KKN'!C:C,'DATA รถถึงเส้นรอง KKN'!O:O)</f>
        <v>#N/A</v>
      </c>
      <c r="G37" s="22" t="e">
        <f>_xlfn.XLOOKUP(E37,'DATA รถถึงเส้นรอง KKN'!C:C,'DATA รถถึงเส้นรอง KKN'!L:L)</f>
        <v>#N/A</v>
      </c>
      <c r="H37" s="22" t="e">
        <f>_xlfn.XLOOKUP(E37,#REF!,#REF!)</f>
        <v>#REF!</v>
      </c>
      <c r="I37" s="22" t="e">
        <f>_xlfn.XLOOKUP(E37,#REF!,#REF!)</f>
        <v>#REF!</v>
      </c>
      <c r="J37" s="23" t="e">
        <f>_xlfn.XLOOKUP(E37,'DATA รถถึงเส้นรอง KKN'!C:C,'DATA รถถึงเส้นรอง KKN'!AP:AP)</f>
        <v>#N/A</v>
      </c>
      <c r="K37" s="24" t="e">
        <f>_xlfn.XLOOKUP(E37,'DATA รถถึงเส้นรอง KKN'!C:C,'DATA รถถึงเส้นรอง KKN'!AV:AV)</f>
        <v>#N/A</v>
      </c>
      <c r="L37" s="25" t="e">
        <f t="shared" si="5"/>
        <v>#N/A</v>
      </c>
      <c r="M37" s="24" t="e">
        <f>_xlfn.XLOOKUP(E37,'DATA รถถึงเส้นรอง KKN'!C:C,'DATA รถถึงเส้นรอง KKN'!AW:AW)</f>
        <v>#N/A</v>
      </c>
      <c r="N37" s="24" t="e">
        <f>_xlfn.XLOOKUP(E37,'DATA รถถึงเส้นรอง KKN'!C:C,'DATA รถถึงเส้นรอง KKN'!AY:AY)</f>
        <v>#N/A</v>
      </c>
      <c r="O37" s="26" t="e">
        <f t="shared" si="6"/>
        <v>#N/A</v>
      </c>
      <c r="P37" s="24" t="e">
        <f>_xlfn.XLOOKUP(E37,'DATA รถถึงเส้นรอง KKN'!C:C,'DATA รถถึงเส้นรอง KKN'!AZ:AZ)</f>
        <v>#N/A</v>
      </c>
      <c r="Q37" s="60" t="str">
        <f t="shared" si="0"/>
        <v/>
      </c>
      <c r="R37" s="27"/>
      <c r="S37" s="28"/>
      <c r="T37" s="59" t="e">
        <f t="shared" si="1"/>
        <v>#N/A</v>
      </c>
      <c r="V37" s="25" t="e">
        <f t="shared" si="2"/>
        <v>#N/A</v>
      </c>
      <c r="W37" s="25" t="e">
        <f t="shared" si="3"/>
        <v>#N/A</v>
      </c>
      <c r="X37" s="29" t="e">
        <f t="shared" si="4"/>
        <v>#N/A</v>
      </c>
    </row>
    <row r="38" spans="1:24" ht="20.25">
      <c r="B38" s="20">
        <v>34</v>
      </c>
      <c r="C38" s="58" t="e">
        <f>_xlfn.XLOOKUP(D:D,'DATA รถถึงเส้นรอง KKN'!A:A,'DATA รถถึงเส้นรอง KKN'!B:B)</f>
        <v>#N/A</v>
      </c>
      <c r="D38" s="32" t="e">
        <f>_xlfn.XLOOKUP(E38,'DATA รถถึงเส้นรอง KKN'!C:C,'DATA รถถึงเส้นรอง KKN'!A:A)</f>
        <v>#N/A</v>
      </c>
      <c r="E38" s="32" cm="1">
        <f t="array" ref="E38">INDEX('DATA รถถึงเส้นรอง KKN'!C:C,ROW()-3)</f>
        <v>0</v>
      </c>
      <c r="F38" s="22" t="e">
        <f>_xlfn.XLOOKUP(E38,'DATA รถถึงเส้นรอง KKN'!C:C,'DATA รถถึงเส้นรอง KKN'!O:O)</f>
        <v>#N/A</v>
      </c>
      <c r="G38" s="22" t="e">
        <f>_xlfn.XLOOKUP(E38,'DATA รถถึงเส้นรอง KKN'!C:C,'DATA รถถึงเส้นรอง KKN'!L:L)</f>
        <v>#N/A</v>
      </c>
      <c r="H38" s="22" t="e">
        <f>_xlfn.XLOOKUP(E38,#REF!,#REF!)</f>
        <v>#REF!</v>
      </c>
      <c r="I38" s="22" t="e">
        <f>_xlfn.XLOOKUP(E38,#REF!,#REF!)</f>
        <v>#REF!</v>
      </c>
      <c r="J38" s="23" t="e">
        <f>_xlfn.XLOOKUP(E38,'DATA รถถึงเส้นรอง KKN'!C:C,'DATA รถถึงเส้นรอง KKN'!AP:AP)</f>
        <v>#N/A</v>
      </c>
      <c r="K38" s="24" t="e">
        <f>_xlfn.XLOOKUP(E38,'DATA รถถึงเส้นรอง KKN'!C:C,'DATA รถถึงเส้นรอง KKN'!AV:AV)</f>
        <v>#N/A</v>
      </c>
      <c r="L38" s="25" t="e">
        <f t="shared" ref="L38:L64" si="7">M38+TIME(2,0,0)</f>
        <v>#N/A</v>
      </c>
      <c r="M38" s="24" t="e">
        <f>_xlfn.XLOOKUP(E38,'DATA รถถึงเส้นรอง KKN'!C:C,'DATA รถถึงเส้นรอง KKN'!AW:AW)</f>
        <v>#N/A</v>
      </c>
      <c r="N38" s="24" t="e">
        <f>_xlfn.XLOOKUP(E38,'DATA รถถึงเส้นรอง KKN'!C:C,'DATA รถถึงเส้นรอง KKN'!AY:AY)</f>
        <v>#N/A</v>
      </c>
      <c r="O38" s="26" t="e">
        <f t="shared" ref="O38:O64" si="8">IF(OR(N38=0,L38=0,N38="",L38=""),"ข้อมูลไม่ครบ",IF(TEXT(N38,"hh:mm:ss")&gt;TEXT(L38,"hh:mm:ss"),"เกินเวลาลงพัสดุ","อยู่ในเวลาที่ควรลง"))</f>
        <v>#N/A</v>
      </c>
      <c r="P38" s="24" t="e">
        <f>_xlfn.XLOOKUP(E38,'DATA รถถึงเส้นรอง KKN'!C:C,'DATA รถถึงเส้นรอง KKN'!AZ:AZ)</f>
        <v>#N/A</v>
      </c>
      <c r="Q38" s="60" t="str">
        <f t="shared" si="0"/>
        <v/>
      </c>
      <c r="R38" s="27"/>
      <c r="S38" s="28"/>
      <c r="T38" s="59" t="e">
        <f t="shared" si="1"/>
        <v>#N/A</v>
      </c>
      <c r="V38" s="25" t="e">
        <f t="shared" ref="V38:V75" si="9">RIGHT(P38,8)</f>
        <v>#N/A</v>
      </c>
      <c r="W38" s="25" t="e">
        <f t="shared" ref="W38:W75" si="10">RIGHT(N38,8)</f>
        <v>#N/A</v>
      </c>
      <c r="X38" s="29" t="e">
        <f t="shared" ref="X38:X75" si="11">MOD(V38-W38,1)</f>
        <v>#N/A</v>
      </c>
    </row>
    <row r="39" spans="1:24" ht="20.25">
      <c r="B39" s="20">
        <v>35</v>
      </c>
      <c r="C39" s="58" t="e">
        <f>_xlfn.XLOOKUP(D:D,'DATA รถถึงเส้นรอง KKN'!A:A,'DATA รถถึงเส้นรอง KKN'!B:B)</f>
        <v>#N/A</v>
      </c>
      <c r="D39" s="32" t="e">
        <f>_xlfn.XLOOKUP(E39,'DATA รถถึงเส้นรอง KKN'!C:C,'DATA รถถึงเส้นรอง KKN'!A:A)</f>
        <v>#N/A</v>
      </c>
      <c r="E39" s="32" cm="1">
        <f t="array" ref="E39">INDEX('DATA รถถึงเส้นรอง KKN'!C:C,ROW()-3)</f>
        <v>0</v>
      </c>
      <c r="F39" s="22" t="e">
        <f>_xlfn.XLOOKUP(E39,'DATA รถถึงเส้นรอง KKN'!C:C,'DATA รถถึงเส้นรอง KKN'!O:O)</f>
        <v>#N/A</v>
      </c>
      <c r="G39" s="22" t="e">
        <f>_xlfn.XLOOKUP(E39,'DATA รถถึงเส้นรอง KKN'!C:C,'DATA รถถึงเส้นรอง KKN'!L:L)</f>
        <v>#N/A</v>
      </c>
      <c r="H39" s="22" t="e">
        <f>_xlfn.XLOOKUP(E39,#REF!,#REF!)</f>
        <v>#REF!</v>
      </c>
      <c r="I39" s="22" t="e">
        <f>_xlfn.XLOOKUP(E39,#REF!,#REF!)</f>
        <v>#REF!</v>
      </c>
      <c r="J39" s="23" t="e">
        <f>_xlfn.XLOOKUP(E39,'DATA รถถึงเส้นรอง KKN'!C:C,'DATA รถถึงเส้นรอง KKN'!AP:AP)</f>
        <v>#N/A</v>
      </c>
      <c r="K39" s="24" t="e">
        <f>_xlfn.XLOOKUP(E39,'DATA รถถึงเส้นรอง KKN'!C:C,'DATA รถถึงเส้นรอง KKN'!AV:AV)</f>
        <v>#N/A</v>
      </c>
      <c r="L39" s="25" t="e">
        <f t="shared" si="7"/>
        <v>#N/A</v>
      </c>
      <c r="M39" s="24" t="e">
        <f>_xlfn.XLOOKUP(E39,'DATA รถถึงเส้นรอง KKN'!C:C,'DATA รถถึงเส้นรอง KKN'!AW:AW)</f>
        <v>#N/A</v>
      </c>
      <c r="N39" s="24" t="e">
        <f>_xlfn.XLOOKUP(E39,'DATA รถถึงเส้นรอง KKN'!C:C,'DATA รถถึงเส้นรอง KKN'!AY:AY)</f>
        <v>#N/A</v>
      </c>
      <c r="O39" s="26" t="e">
        <f t="shared" si="8"/>
        <v>#N/A</v>
      </c>
      <c r="P39" s="24" t="e">
        <f>_xlfn.XLOOKUP(E39,'DATA รถถึงเส้นรอง KKN'!C:C,'DATA รถถึงเส้นรอง KKN'!AZ:AZ)</f>
        <v>#N/A</v>
      </c>
      <c r="Q39" s="60" t="str">
        <f t="shared" si="0"/>
        <v/>
      </c>
      <c r="R39" s="27"/>
      <c r="S39" s="28"/>
      <c r="T39" s="59" t="e">
        <f t="shared" si="1"/>
        <v>#N/A</v>
      </c>
      <c r="V39" s="25" t="e">
        <f t="shared" si="9"/>
        <v>#N/A</v>
      </c>
      <c r="W39" s="25" t="e">
        <f t="shared" si="10"/>
        <v>#N/A</v>
      </c>
      <c r="X39" s="29" t="e">
        <f t="shared" si="11"/>
        <v>#N/A</v>
      </c>
    </row>
    <row r="40" spans="1:24" ht="20.25">
      <c r="B40" s="20">
        <v>36</v>
      </c>
      <c r="C40" s="58" t="e">
        <f>_xlfn.XLOOKUP(D:D,'DATA รถถึงเส้นรอง KKN'!A:A,'DATA รถถึงเส้นรอง KKN'!B:B)</f>
        <v>#N/A</v>
      </c>
      <c r="D40" s="32" t="e">
        <f>_xlfn.XLOOKUP(E40,'DATA รถถึงเส้นรอง KKN'!C:C,'DATA รถถึงเส้นรอง KKN'!A:A)</f>
        <v>#N/A</v>
      </c>
      <c r="E40" s="32" cm="1">
        <f t="array" ref="E40">INDEX('DATA รถถึงเส้นรอง KKN'!C:C,ROW()-3)</f>
        <v>0</v>
      </c>
      <c r="F40" s="22" t="e">
        <f>_xlfn.XLOOKUP(E40,'DATA รถถึงเส้นรอง KKN'!C:C,'DATA รถถึงเส้นรอง KKN'!O:O)</f>
        <v>#N/A</v>
      </c>
      <c r="G40" s="22" t="e">
        <f>_xlfn.XLOOKUP(E40,'DATA รถถึงเส้นรอง KKN'!C:C,'DATA รถถึงเส้นรอง KKN'!L:L)</f>
        <v>#N/A</v>
      </c>
      <c r="H40" s="22" t="e">
        <f>_xlfn.XLOOKUP(E40,#REF!,#REF!)</f>
        <v>#REF!</v>
      </c>
      <c r="I40" s="22" t="e">
        <f>_xlfn.XLOOKUP(E40,#REF!,#REF!)</f>
        <v>#REF!</v>
      </c>
      <c r="J40" s="23" t="e">
        <f>_xlfn.XLOOKUP(E40,'DATA รถถึงเส้นรอง KKN'!C:C,'DATA รถถึงเส้นรอง KKN'!AP:AP)</f>
        <v>#N/A</v>
      </c>
      <c r="K40" s="24" t="e">
        <f>_xlfn.XLOOKUP(E40,'DATA รถถึงเส้นรอง KKN'!C:C,'DATA รถถึงเส้นรอง KKN'!AV:AV)</f>
        <v>#N/A</v>
      </c>
      <c r="L40" s="25" t="e">
        <f t="shared" si="7"/>
        <v>#N/A</v>
      </c>
      <c r="M40" s="24" t="e">
        <f>_xlfn.XLOOKUP(E40,'DATA รถถึงเส้นรอง KKN'!C:C,'DATA รถถึงเส้นรอง KKN'!AW:AW)</f>
        <v>#N/A</v>
      </c>
      <c r="N40" s="24" t="e">
        <f>_xlfn.XLOOKUP(E40,'DATA รถถึงเส้นรอง KKN'!C:C,'DATA รถถึงเส้นรอง KKN'!AY:AY)</f>
        <v>#N/A</v>
      </c>
      <c r="O40" s="26" t="e">
        <f t="shared" si="8"/>
        <v>#N/A</v>
      </c>
      <c r="P40" s="24" t="e">
        <f>_xlfn.XLOOKUP(E40,'DATA รถถึงเส้นรอง KKN'!C:C,'DATA รถถึงเส้นรอง KKN'!AZ:AZ)</f>
        <v>#N/A</v>
      </c>
      <c r="Q40" s="60" t="str">
        <f t="shared" si="0"/>
        <v/>
      </c>
      <c r="R40" s="27"/>
      <c r="S40" s="28"/>
      <c r="T40" s="59" t="e">
        <f t="shared" si="1"/>
        <v>#N/A</v>
      </c>
      <c r="V40" s="25" t="e">
        <f t="shared" si="9"/>
        <v>#N/A</v>
      </c>
      <c r="W40" s="25" t="e">
        <f t="shared" si="10"/>
        <v>#N/A</v>
      </c>
      <c r="X40" s="29" t="e">
        <f t="shared" si="11"/>
        <v>#N/A</v>
      </c>
    </row>
    <row r="41" spans="1:24" ht="20.25">
      <c r="B41" s="20">
        <v>37</v>
      </c>
      <c r="C41" s="58" t="e">
        <f>_xlfn.XLOOKUP(D:D,'DATA รถถึงเส้นรอง KKN'!A:A,'DATA รถถึงเส้นรอง KKN'!B:B)</f>
        <v>#N/A</v>
      </c>
      <c r="D41" s="32" t="e">
        <f>_xlfn.XLOOKUP(E41,'DATA รถถึงเส้นรอง KKN'!C:C,'DATA รถถึงเส้นรอง KKN'!A:A)</f>
        <v>#N/A</v>
      </c>
      <c r="E41" s="32" cm="1">
        <f t="array" ref="E41">INDEX('DATA รถถึงเส้นรอง KKN'!C:C,ROW()-3)</f>
        <v>0</v>
      </c>
      <c r="F41" s="22" t="e">
        <f>_xlfn.XLOOKUP(E41,'DATA รถถึงเส้นรอง KKN'!C:C,'DATA รถถึงเส้นรอง KKN'!O:O)</f>
        <v>#N/A</v>
      </c>
      <c r="G41" s="22" t="e">
        <f>_xlfn.XLOOKUP(E41,'DATA รถถึงเส้นรอง KKN'!C:C,'DATA รถถึงเส้นรอง KKN'!L:L)</f>
        <v>#N/A</v>
      </c>
      <c r="H41" s="22" t="e">
        <f>_xlfn.XLOOKUP(E41,#REF!,#REF!)</f>
        <v>#REF!</v>
      </c>
      <c r="I41" s="22" t="e">
        <f>_xlfn.XLOOKUP(E41,#REF!,#REF!)</f>
        <v>#REF!</v>
      </c>
      <c r="J41" s="23" t="e">
        <f>_xlfn.XLOOKUP(E41,'DATA รถถึงเส้นรอง KKN'!C:C,'DATA รถถึงเส้นรอง KKN'!AP:AP)</f>
        <v>#N/A</v>
      </c>
      <c r="K41" s="24" t="e">
        <f>_xlfn.XLOOKUP(E41,'DATA รถถึงเส้นรอง KKN'!C:C,'DATA รถถึงเส้นรอง KKN'!AV:AV)</f>
        <v>#N/A</v>
      </c>
      <c r="L41" s="25" t="e">
        <f t="shared" si="7"/>
        <v>#N/A</v>
      </c>
      <c r="M41" s="24" t="e">
        <f>_xlfn.XLOOKUP(E41,'DATA รถถึงเส้นรอง KKN'!C:C,'DATA รถถึงเส้นรอง KKN'!AW:AW)</f>
        <v>#N/A</v>
      </c>
      <c r="N41" s="24" t="e">
        <f>_xlfn.XLOOKUP(E41,'DATA รถถึงเส้นรอง KKN'!C:C,'DATA รถถึงเส้นรอง KKN'!AY:AY)</f>
        <v>#N/A</v>
      </c>
      <c r="O41" s="26" t="e">
        <f t="shared" si="8"/>
        <v>#N/A</v>
      </c>
      <c r="P41" s="24" t="e">
        <f>_xlfn.XLOOKUP(E41,'DATA รถถึงเส้นรอง KKN'!C:C,'DATA รถถึงเส้นรอง KKN'!AZ:AZ)</f>
        <v>#N/A</v>
      </c>
      <c r="Q41" s="60" t="str">
        <f t="shared" si="0"/>
        <v/>
      </c>
      <c r="R41" s="27"/>
      <c r="S41" s="28"/>
      <c r="T41" s="59" t="e">
        <f t="shared" si="1"/>
        <v>#N/A</v>
      </c>
      <c r="V41" s="25" t="e">
        <f t="shared" si="9"/>
        <v>#N/A</v>
      </c>
      <c r="W41" s="25" t="e">
        <f t="shared" si="10"/>
        <v>#N/A</v>
      </c>
      <c r="X41" s="29" t="e">
        <f t="shared" si="11"/>
        <v>#N/A</v>
      </c>
    </row>
    <row r="42" spans="1:24" ht="20.25">
      <c r="B42" s="20">
        <v>38</v>
      </c>
      <c r="C42" s="58" t="e">
        <f>_xlfn.XLOOKUP(D:D,'DATA รถถึงเส้นรอง KKN'!A:A,'DATA รถถึงเส้นรอง KKN'!B:B)</f>
        <v>#N/A</v>
      </c>
      <c r="D42" s="32" t="e">
        <f>_xlfn.XLOOKUP(E42,'DATA รถถึงเส้นรอง KKN'!C:C,'DATA รถถึงเส้นรอง KKN'!A:A)</f>
        <v>#N/A</v>
      </c>
      <c r="E42" s="32" cm="1">
        <f t="array" ref="E42">INDEX('DATA รถถึงเส้นรอง KKN'!C:C,ROW()-3)</f>
        <v>0</v>
      </c>
      <c r="F42" s="22" t="e">
        <f>_xlfn.XLOOKUP(E42,'DATA รถถึงเส้นรอง KKN'!C:C,'DATA รถถึงเส้นรอง KKN'!O:O)</f>
        <v>#N/A</v>
      </c>
      <c r="G42" s="22" t="e">
        <f>_xlfn.XLOOKUP(E42,'DATA รถถึงเส้นรอง KKN'!C:C,'DATA รถถึงเส้นรอง KKN'!L:L)</f>
        <v>#N/A</v>
      </c>
      <c r="H42" s="22" t="e">
        <f>_xlfn.XLOOKUP(E42,#REF!,#REF!)</f>
        <v>#REF!</v>
      </c>
      <c r="I42" s="22" t="e">
        <f>_xlfn.XLOOKUP(E42,#REF!,#REF!)</f>
        <v>#REF!</v>
      </c>
      <c r="J42" s="23" t="e">
        <f>_xlfn.XLOOKUP(E42,'DATA รถถึงเส้นรอง KKN'!C:C,'DATA รถถึงเส้นรอง KKN'!AP:AP)</f>
        <v>#N/A</v>
      </c>
      <c r="K42" s="24" t="e">
        <f>_xlfn.XLOOKUP(E42,'DATA รถถึงเส้นรอง KKN'!C:C,'DATA รถถึงเส้นรอง KKN'!AV:AV)</f>
        <v>#N/A</v>
      </c>
      <c r="L42" s="25" t="e">
        <f t="shared" si="7"/>
        <v>#N/A</v>
      </c>
      <c r="M42" s="24" t="e">
        <f>_xlfn.XLOOKUP(E42,'DATA รถถึงเส้นรอง KKN'!C:C,'DATA รถถึงเส้นรอง KKN'!AW:AW)</f>
        <v>#N/A</v>
      </c>
      <c r="N42" s="24" t="e">
        <f>_xlfn.XLOOKUP(E42,'DATA รถถึงเส้นรอง KKN'!C:C,'DATA รถถึงเส้นรอง KKN'!AY:AY)</f>
        <v>#N/A</v>
      </c>
      <c r="O42" s="26" t="e">
        <f t="shared" si="8"/>
        <v>#N/A</v>
      </c>
      <c r="P42" s="24" t="e">
        <f>_xlfn.XLOOKUP(E42,'DATA รถถึงเส้นรอง KKN'!C:C,'DATA รถถึงเส้นรอง KKN'!AZ:AZ)</f>
        <v>#N/A</v>
      </c>
      <c r="Q42" s="60" t="str">
        <f t="shared" si="0"/>
        <v/>
      </c>
      <c r="R42" s="27"/>
      <c r="S42" s="28"/>
      <c r="T42" s="59" t="e">
        <f t="shared" si="1"/>
        <v>#N/A</v>
      </c>
      <c r="V42" s="25" t="e">
        <f t="shared" si="9"/>
        <v>#N/A</v>
      </c>
      <c r="W42" s="25" t="e">
        <f t="shared" si="10"/>
        <v>#N/A</v>
      </c>
      <c r="X42" s="29" t="e">
        <f t="shared" si="11"/>
        <v>#N/A</v>
      </c>
    </row>
    <row r="43" spans="1:24" ht="20.25">
      <c r="B43" s="20">
        <v>39</v>
      </c>
      <c r="C43" s="58" t="e">
        <f>_xlfn.XLOOKUP(D:D,'DATA รถถึงเส้นรอง KKN'!A:A,'DATA รถถึงเส้นรอง KKN'!B:B)</f>
        <v>#N/A</v>
      </c>
      <c r="D43" s="32" t="e">
        <f>_xlfn.XLOOKUP(E43,'DATA รถถึงเส้นรอง KKN'!C:C,'DATA รถถึงเส้นรอง KKN'!A:A)</f>
        <v>#N/A</v>
      </c>
      <c r="E43" s="32" cm="1">
        <f t="array" ref="E43">INDEX('DATA รถถึงเส้นรอง KKN'!C:C,ROW()-3)</f>
        <v>0</v>
      </c>
      <c r="F43" s="22" t="e">
        <f>_xlfn.XLOOKUP(E43,'DATA รถถึงเส้นรอง KKN'!C:C,'DATA รถถึงเส้นรอง KKN'!O:O)</f>
        <v>#N/A</v>
      </c>
      <c r="G43" s="22" t="e">
        <f>_xlfn.XLOOKUP(E43,'DATA รถถึงเส้นรอง KKN'!C:C,'DATA รถถึงเส้นรอง KKN'!L:L)</f>
        <v>#N/A</v>
      </c>
      <c r="H43" s="22" t="e">
        <f>_xlfn.XLOOKUP(E43,#REF!,#REF!)</f>
        <v>#REF!</v>
      </c>
      <c r="I43" s="22" t="e">
        <f>_xlfn.XLOOKUP(E43,#REF!,#REF!)</f>
        <v>#REF!</v>
      </c>
      <c r="J43" s="23" t="e">
        <f>_xlfn.XLOOKUP(E43,'DATA รถถึงเส้นรอง KKN'!C:C,'DATA รถถึงเส้นรอง KKN'!AP:AP)</f>
        <v>#N/A</v>
      </c>
      <c r="K43" s="24" t="e">
        <f>_xlfn.XLOOKUP(E43,'DATA รถถึงเส้นรอง KKN'!C:C,'DATA รถถึงเส้นรอง KKN'!AV:AV)</f>
        <v>#N/A</v>
      </c>
      <c r="L43" s="25" t="e">
        <f t="shared" si="7"/>
        <v>#N/A</v>
      </c>
      <c r="M43" s="24" t="e">
        <f>_xlfn.XLOOKUP(E43,'DATA รถถึงเส้นรอง KKN'!C:C,'DATA รถถึงเส้นรอง KKN'!AW:AW)</f>
        <v>#N/A</v>
      </c>
      <c r="N43" s="24" t="e">
        <f>_xlfn.XLOOKUP(E43,'DATA รถถึงเส้นรอง KKN'!C:C,'DATA รถถึงเส้นรอง KKN'!AY:AY)</f>
        <v>#N/A</v>
      </c>
      <c r="O43" s="26" t="e">
        <f t="shared" si="8"/>
        <v>#N/A</v>
      </c>
      <c r="P43" s="24" t="e">
        <f>_xlfn.XLOOKUP(E43,'DATA รถถึงเส้นรอง KKN'!C:C,'DATA รถถึงเส้นรอง KKN'!AZ:AZ)</f>
        <v>#N/A</v>
      </c>
      <c r="Q43" s="60" t="str">
        <f t="shared" si="0"/>
        <v/>
      </c>
      <c r="R43" s="27"/>
      <c r="S43" s="28"/>
      <c r="T43" s="59" t="e">
        <f t="shared" si="1"/>
        <v>#N/A</v>
      </c>
      <c r="V43" s="25" t="e">
        <f t="shared" si="9"/>
        <v>#N/A</v>
      </c>
      <c r="W43" s="25" t="e">
        <f t="shared" si="10"/>
        <v>#N/A</v>
      </c>
      <c r="X43" s="29" t="e">
        <f t="shared" si="11"/>
        <v>#N/A</v>
      </c>
    </row>
    <row r="44" spans="1:24" ht="20.25">
      <c r="B44" s="20">
        <v>40</v>
      </c>
      <c r="C44" s="58" t="e">
        <f>_xlfn.XLOOKUP(D:D,'DATA รถถึงเส้นรอง KKN'!A:A,'DATA รถถึงเส้นรอง KKN'!B:B)</f>
        <v>#N/A</v>
      </c>
      <c r="D44" s="32" t="e">
        <f>_xlfn.XLOOKUP(E44,'DATA รถถึงเส้นรอง KKN'!C:C,'DATA รถถึงเส้นรอง KKN'!A:A)</f>
        <v>#N/A</v>
      </c>
      <c r="E44" s="32" cm="1">
        <f t="array" ref="E44">INDEX('DATA รถถึงเส้นรอง KKN'!C:C,ROW()-3)</f>
        <v>0</v>
      </c>
      <c r="F44" s="22" t="e">
        <f>_xlfn.XLOOKUP(E44,'DATA รถถึงเส้นรอง KKN'!C:C,'DATA รถถึงเส้นรอง KKN'!O:O)</f>
        <v>#N/A</v>
      </c>
      <c r="G44" s="22" t="e">
        <f>_xlfn.XLOOKUP(E44,'DATA รถถึงเส้นรอง KKN'!C:C,'DATA รถถึงเส้นรอง KKN'!L:L)</f>
        <v>#N/A</v>
      </c>
      <c r="H44" s="22" t="e">
        <f>_xlfn.XLOOKUP(E44,#REF!,#REF!)</f>
        <v>#REF!</v>
      </c>
      <c r="I44" s="22" t="e">
        <f>_xlfn.XLOOKUP(E44,#REF!,#REF!)</f>
        <v>#REF!</v>
      </c>
      <c r="J44" s="23" t="e">
        <f>_xlfn.XLOOKUP(E44,'DATA รถถึงเส้นรอง KKN'!C:C,'DATA รถถึงเส้นรอง KKN'!AP:AP)</f>
        <v>#N/A</v>
      </c>
      <c r="K44" s="24" t="e">
        <f>_xlfn.XLOOKUP(E44,'DATA รถถึงเส้นรอง KKN'!C:C,'DATA รถถึงเส้นรอง KKN'!AV:AV)</f>
        <v>#N/A</v>
      </c>
      <c r="L44" s="25" t="e">
        <f t="shared" si="7"/>
        <v>#N/A</v>
      </c>
      <c r="M44" s="24" t="e">
        <f>_xlfn.XLOOKUP(E44,'DATA รถถึงเส้นรอง KKN'!C:C,'DATA รถถึงเส้นรอง KKN'!AW:AW)</f>
        <v>#N/A</v>
      </c>
      <c r="N44" s="24" t="e">
        <f>_xlfn.XLOOKUP(E44,'DATA รถถึงเส้นรอง KKN'!C:C,'DATA รถถึงเส้นรอง KKN'!AY:AY)</f>
        <v>#N/A</v>
      </c>
      <c r="O44" s="26" t="e">
        <f t="shared" si="8"/>
        <v>#N/A</v>
      </c>
      <c r="P44" s="24" t="e">
        <f>_xlfn.XLOOKUP(E44,'DATA รถถึงเส้นรอง KKN'!C:C,'DATA รถถึงเส้นรอง KKN'!AZ:AZ)</f>
        <v>#N/A</v>
      </c>
      <c r="Q44" s="60" t="str">
        <f t="shared" si="0"/>
        <v/>
      </c>
      <c r="R44" s="27"/>
      <c r="S44" s="28"/>
      <c r="T44" s="59" t="e">
        <f t="shared" si="1"/>
        <v>#N/A</v>
      </c>
      <c r="V44" s="25" t="e">
        <f t="shared" si="9"/>
        <v>#N/A</v>
      </c>
      <c r="W44" s="25" t="e">
        <f t="shared" si="10"/>
        <v>#N/A</v>
      </c>
      <c r="X44" s="29" t="e">
        <f t="shared" si="11"/>
        <v>#N/A</v>
      </c>
    </row>
    <row r="45" spans="1:24" ht="20.25">
      <c r="B45" s="20">
        <v>41</v>
      </c>
      <c r="C45" s="58" t="e">
        <f>_xlfn.XLOOKUP(D:D,'DATA รถถึงเส้นรอง KKN'!A:A,'DATA รถถึงเส้นรอง KKN'!B:B)</f>
        <v>#N/A</v>
      </c>
      <c r="D45" s="32" t="e">
        <f>_xlfn.XLOOKUP(E45,'DATA รถถึงเส้นรอง KKN'!C:C,'DATA รถถึงเส้นรอง KKN'!A:A)</f>
        <v>#N/A</v>
      </c>
      <c r="E45" s="32" cm="1">
        <f t="array" ref="E45">INDEX('DATA รถถึงเส้นรอง KKN'!C:C,ROW()-3)</f>
        <v>0</v>
      </c>
      <c r="F45" s="22" t="e">
        <f>_xlfn.XLOOKUP(E45,'DATA รถถึงเส้นรอง KKN'!C:C,'DATA รถถึงเส้นรอง KKN'!O:O)</f>
        <v>#N/A</v>
      </c>
      <c r="G45" s="22" t="e">
        <f>_xlfn.XLOOKUP(E45,'DATA รถถึงเส้นรอง KKN'!C:C,'DATA รถถึงเส้นรอง KKN'!L:L)</f>
        <v>#N/A</v>
      </c>
      <c r="H45" s="22" t="e">
        <f>_xlfn.XLOOKUP(E45,#REF!,#REF!)</f>
        <v>#REF!</v>
      </c>
      <c r="I45" s="22" t="e">
        <f>_xlfn.XLOOKUP(E45,#REF!,#REF!)</f>
        <v>#REF!</v>
      </c>
      <c r="J45" s="23" t="e">
        <f>_xlfn.XLOOKUP(E45,'DATA รถถึงเส้นรอง KKN'!C:C,'DATA รถถึงเส้นรอง KKN'!AP:AP)</f>
        <v>#N/A</v>
      </c>
      <c r="K45" s="24" t="e">
        <f>_xlfn.XLOOKUP(E45,'DATA รถถึงเส้นรอง KKN'!C:C,'DATA รถถึงเส้นรอง KKN'!AV:AV)</f>
        <v>#N/A</v>
      </c>
      <c r="L45" s="25" t="e">
        <f t="shared" si="7"/>
        <v>#N/A</v>
      </c>
      <c r="M45" s="24" t="e">
        <f>_xlfn.XLOOKUP(E45,'DATA รถถึงเส้นรอง KKN'!C:C,'DATA รถถึงเส้นรอง KKN'!AW:AW)</f>
        <v>#N/A</v>
      </c>
      <c r="N45" s="24" t="e">
        <f>_xlfn.XLOOKUP(E45,'DATA รถถึงเส้นรอง KKN'!C:C,'DATA รถถึงเส้นรอง KKN'!AY:AY)</f>
        <v>#N/A</v>
      </c>
      <c r="O45" s="26" t="e">
        <f t="shared" si="8"/>
        <v>#N/A</v>
      </c>
      <c r="P45" s="24" t="e">
        <f>_xlfn.XLOOKUP(E45,'DATA รถถึงเส้นรอง KKN'!C:C,'DATA รถถึงเส้นรอง KKN'!AZ:AZ)</f>
        <v>#N/A</v>
      </c>
      <c r="Q45" s="60" t="str">
        <f t="shared" si="0"/>
        <v/>
      </c>
      <c r="R45" s="27"/>
      <c r="S45" s="28"/>
      <c r="T45" s="59" t="e">
        <f t="shared" si="1"/>
        <v>#N/A</v>
      </c>
      <c r="V45" s="25" t="e">
        <f t="shared" si="9"/>
        <v>#N/A</v>
      </c>
      <c r="W45" s="25" t="e">
        <f t="shared" si="10"/>
        <v>#N/A</v>
      </c>
      <c r="X45" s="29" t="e">
        <f t="shared" si="11"/>
        <v>#N/A</v>
      </c>
    </row>
    <row r="46" spans="1:24" ht="20.25">
      <c r="B46" s="20">
        <v>42</v>
      </c>
      <c r="C46" s="58" t="e">
        <f>_xlfn.XLOOKUP(D:D,'DATA รถถึงเส้นรอง KKN'!A:A,'DATA รถถึงเส้นรอง KKN'!B:B)</f>
        <v>#N/A</v>
      </c>
      <c r="D46" s="32" t="e">
        <f>_xlfn.XLOOKUP(E46,'DATA รถถึงเส้นรอง KKN'!C:C,'DATA รถถึงเส้นรอง KKN'!A:A)</f>
        <v>#N/A</v>
      </c>
      <c r="E46" s="32" cm="1">
        <f t="array" ref="E46">INDEX('DATA รถถึงเส้นรอง KKN'!C:C,ROW()-3)</f>
        <v>0</v>
      </c>
      <c r="F46" s="22" t="e">
        <f>_xlfn.XLOOKUP(E46,'DATA รถถึงเส้นรอง KKN'!C:C,'DATA รถถึงเส้นรอง KKN'!O:O)</f>
        <v>#N/A</v>
      </c>
      <c r="G46" s="22" t="e">
        <f>_xlfn.XLOOKUP(E46,'DATA รถถึงเส้นรอง KKN'!C:C,'DATA รถถึงเส้นรอง KKN'!L:L)</f>
        <v>#N/A</v>
      </c>
      <c r="H46" s="22" t="e">
        <f>_xlfn.XLOOKUP(E46,#REF!,#REF!)</f>
        <v>#REF!</v>
      </c>
      <c r="I46" s="22" t="e">
        <f>_xlfn.XLOOKUP(E46,#REF!,#REF!)</f>
        <v>#REF!</v>
      </c>
      <c r="J46" s="23" t="e">
        <f>_xlfn.XLOOKUP(E46,'DATA รถถึงเส้นรอง KKN'!C:C,'DATA รถถึงเส้นรอง KKN'!AP:AP)</f>
        <v>#N/A</v>
      </c>
      <c r="K46" s="24" t="e">
        <f>_xlfn.XLOOKUP(E46,'DATA รถถึงเส้นรอง KKN'!C:C,'DATA รถถึงเส้นรอง KKN'!AV:AV)</f>
        <v>#N/A</v>
      </c>
      <c r="L46" s="25" t="e">
        <f t="shared" si="7"/>
        <v>#N/A</v>
      </c>
      <c r="M46" s="24" t="e">
        <f>_xlfn.XLOOKUP(E46,'DATA รถถึงเส้นรอง KKN'!C:C,'DATA รถถึงเส้นรอง KKN'!AW:AW)</f>
        <v>#N/A</v>
      </c>
      <c r="N46" s="24" t="e">
        <f>_xlfn.XLOOKUP(E46,'DATA รถถึงเส้นรอง KKN'!C:C,'DATA รถถึงเส้นรอง KKN'!AY:AY)</f>
        <v>#N/A</v>
      </c>
      <c r="O46" s="26" t="e">
        <f t="shared" si="8"/>
        <v>#N/A</v>
      </c>
      <c r="P46" s="24" t="e">
        <f>_xlfn.XLOOKUP(E46,'DATA รถถึงเส้นรอง KKN'!C:C,'DATA รถถึงเส้นรอง KKN'!AZ:AZ)</f>
        <v>#N/A</v>
      </c>
      <c r="Q46" s="60" t="str">
        <f t="shared" si="0"/>
        <v/>
      </c>
      <c r="R46" s="27"/>
      <c r="S46" s="28"/>
      <c r="T46" s="59" t="e">
        <f t="shared" si="1"/>
        <v>#N/A</v>
      </c>
      <c r="V46" s="25" t="e">
        <f t="shared" si="9"/>
        <v>#N/A</v>
      </c>
      <c r="W46" s="25" t="e">
        <f t="shared" si="10"/>
        <v>#N/A</v>
      </c>
      <c r="X46" s="29" t="e">
        <f t="shared" si="11"/>
        <v>#N/A</v>
      </c>
    </row>
    <row r="47" spans="1:24" ht="20.25">
      <c r="B47" s="20">
        <v>43</v>
      </c>
      <c r="C47" s="58" t="e">
        <f>_xlfn.XLOOKUP(D:D,'DATA รถถึงเส้นรอง KKN'!A:A,'DATA รถถึงเส้นรอง KKN'!B:B)</f>
        <v>#N/A</v>
      </c>
      <c r="D47" s="32" t="e">
        <f>_xlfn.XLOOKUP(E47,'DATA รถถึงเส้นรอง KKN'!C:C,'DATA รถถึงเส้นรอง KKN'!A:A)</f>
        <v>#N/A</v>
      </c>
      <c r="E47" s="32" cm="1">
        <f t="array" ref="E47">INDEX('DATA รถถึงเส้นรอง KKN'!C:C,ROW()-3)</f>
        <v>0</v>
      </c>
      <c r="F47" s="22" t="e">
        <f>_xlfn.XLOOKUP(E47,'DATA รถถึงเส้นรอง KKN'!C:C,'DATA รถถึงเส้นรอง KKN'!O:O)</f>
        <v>#N/A</v>
      </c>
      <c r="G47" s="22" t="e">
        <f>_xlfn.XLOOKUP(E47,'DATA รถถึงเส้นรอง KKN'!C:C,'DATA รถถึงเส้นรอง KKN'!L:L)</f>
        <v>#N/A</v>
      </c>
      <c r="H47" s="22" t="e">
        <f>_xlfn.XLOOKUP(E47,#REF!,#REF!)</f>
        <v>#REF!</v>
      </c>
      <c r="I47" s="22" t="e">
        <f>_xlfn.XLOOKUP(E47,#REF!,#REF!)</f>
        <v>#REF!</v>
      </c>
      <c r="J47" s="23" t="e">
        <f>_xlfn.XLOOKUP(E47,'DATA รถถึงเส้นรอง KKN'!C:C,'DATA รถถึงเส้นรอง KKN'!AP:AP)</f>
        <v>#N/A</v>
      </c>
      <c r="K47" s="24" t="e">
        <f>_xlfn.XLOOKUP(E47,'DATA รถถึงเส้นรอง KKN'!C:C,'DATA รถถึงเส้นรอง KKN'!AV:AV)</f>
        <v>#N/A</v>
      </c>
      <c r="L47" s="25" t="e">
        <f t="shared" si="7"/>
        <v>#N/A</v>
      </c>
      <c r="M47" s="24" t="e">
        <f>_xlfn.XLOOKUP(E47,'DATA รถถึงเส้นรอง KKN'!C:C,'DATA รถถึงเส้นรอง KKN'!AW:AW)</f>
        <v>#N/A</v>
      </c>
      <c r="N47" s="24" t="e">
        <f>_xlfn.XLOOKUP(E47,'DATA รถถึงเส้นรอง KKN'!C:C,'DATA รถถึงเส้นรอง KKN'!AY:AY)</f>
        <v>#N/A</v>
      </c>
      <c r="O47" s="26" t="e">
        <f t="shared" si="8"/>
        <v>#N/A</v>
      </c>
      <c r="P47" s="24" t="e">
        <f>_xlfn.XLOOKUP(E47,'DATA รถถึงเส้นรอง KKN'!C:C,'DATA รถถึงเส้นรอง KKN'!AZ:AZ)</f>
        <v>#N/A</v>
      </c>
      <c r="Q47" s="60" t="str">
        <f t="shared" si="0"/>
        <v/>
      </c>
      <c r="R47" s="27"/>
      <c r="S47" s="28"/>
      <c r="T47" s="59" t="e">
        <f t="shared" si="1"/>
        <v>#N/A</v>
      </c>
      <c r="V47" s="25" t="e">
        <f t="shared" si="9"/>
        <v>#N/A</v>
      </c>
      <c r="W47" s="25" t="e">
        <f t="shared" si="10"/>
        <v>#N/A</v>
      </c>
      <c r="X47" s="29" t="e">
        <f t="shared" si="11"/>
        <v>#N/A</v>
      </c>
    </row>
    <row r="48" spans="1:24" ht="20.25">
      <c r="B48" s="20">
        <v>44</v>
      </c>
      <c r="C48" s="58" t="e">
        <f>_xlfn.XLOOKUP(D:D,'DATA รถถึงเส้นรอง KKN'!A:A,'DATA รถถึงเส้นรอง KKN'!B:B)</f>
        <v>#N/A</v>
      </c>
      <c r="D48" s="32" t="e">
        <f>_xlfn.XLOOKUP(E48,'DATA รถถึงเส้นรอง KKN'!C:C,'DATA รถถึงเส้นรอง KKN'!A:A)</f>
        <v>#N/A</v>
      </c>
      <c r="E48" s="32" cm="1">
        <f t="array" ref="E48">INDEX('DATA รถถึงเส้นรอง KKN'!C:C,ROW()-3)</f>
        <v>0</v>
      </c>
      <c r="F48" s="22" t="e">
        <f>_xlfn.XLOOKUP(E48,'DATA รถถึงเส้นรอง KKN'!C:C,'DATA รถถึงเส้นรอง KKN'!O:O)</f>
        <v>#N/A</v>
      </c>
      <c r="G48" s="22" t="e">
        <f>_xlfn.XLOOKUP(E48,'DATA รถถึงเส้นรอง KKN'!C:C,'DATA รถถึงเส้นรอง KKN'!L:L)</f>
        <v>#N/A</v>
      </c>
      <c r="H48" s="22" t="e">
        <f>_xlfn.XLOOKUP(E48,#REF!,#REF!)</f>
        <v>#REF!</v>
      </c>
      <c r="I48" s="22" t="e">
        <f>_xlfn.XLOOKUP(E48,#REF!,#REF!)</f>
        <v>#REF!</v>
      </c>
      <c r="J48" s="23" t="e">
        <f>_xlfn.XLOOKUP(E48,'DATA รถถึงเส้นรอง KKN'!C:C,'DATA รถถึงเส้นรอง KKN'!AP:AP)</f>
        <v>#N/A</v>
      </c>
      <c r="K48" s="24" t="e">
        <f>_xlfn.XLOOKUP(E48,'DATA รถถึงเส้นรอง KKN'!C:C,'DATA รถถึงเส้นรอง KKN'!AV:AV)</f>
        <v>#N/A</v>
      </c>
      <c r="L48" s="25" t="e">
        <f t="shared" si="7"/>
        <v>#N/A</v>
      </c>
      <c r="M48" s="24" t="e">
        <f>_xlfn.XLOOKUP(E48,'DATA รถถึงเส้นรอง KKN'!C:C,'DATA รถถึงเส้นรอง KKN'!AW:AW)</f>
        <v>#N/A</v>
      </c>
      <c r="N48" s="24" t="e">
        <f>_xlfn.XLOOKUP(E48,'DATA รถถึงเส้นรอง KKN'!C:C,'DATA รถถึงเส้นรอง KKN'!AY:AY)</f>
        <v>#N/A</v>
      </c>
      <c r="O48" s="26" t="e">
        <f t="shared" si="8"/>
        <v>#N/A</v>
      </c>
      <c r="P48" s="24" t="e">
        <f>_xlfn.XLOOKUP(E48,'DATA รถถึงเส้นรอง KKN'!C:C,'DATA รถถึงเส้นรอง KKN'!AZ:AZ)</f>
        <v>#N/A</v>
      </c>
      <c r="Q48" s="60" t="str">
        <f t="shared" si="0"/>
        <v/>
      </c>
      <c r="R48" s="27"/>
      <c r="S48" s="28"/>
      <c r="T48" s="59" t="e">
        <f t="shared" si="1"/>
        <v>#N/A</v>
      </c>
      <c r="U48" s="3"/>
      <c r="V48" s="25" t="e">
        <f t="shared" si="9"/>
        <v>#N/A</v>
      </c>
      <c r="W48" s="25" t="e">
        <f t="shared" si="10"/>
        <v>#N/A</v>
      </c>
      <c r="X48" s="29" t="e">
        <f t="shared" si="11"/>
        <v>#N/A</v>
      </c>
    </row>
    <row r="49" spans="2:24" ht="20.25">
      <c r="B49" s="20">
        <v>45</v>
      </c>
      <c r="C49" s="58" t="e">
        <f>_xlfn.XLOOKUP(D:D,'DATA รถถึงเส้นรอง KKN'!A:A,'DATA รถถึงเส้นรอง KKN'!B:B)</f>
        <v>#N/A</v>
      </c>
      <c r="D49" s="32" t="e">
        <f>_xlfn.XLOOKUP(E49,'DATA รถถึงเส้นรอง KKN'!C:C,'DATA รถถึงเส้นรอง KKN'!A:A)</f>
        <v>#N/A</v>
      </c>
      <c r="E49" s="32" cm="1">
        <f t="array" ref="E49">INDEX('DATA รถถึงเส้นรอง KKN'!C:C,ROW()-3)</f>
        <v>0</v>
      </c>
      <c r="F49" s="22" t="e">
        <f>_xlfn.XLOOKUP(E49,'DATA รถถึงเส้นรอง KKN'!C:C,'DATA รถถึงเส้นรอง KKN'!O:O)</f>
        <v>#N/A</v>
      </c>
      <c r="G49" s="22" t="e">
        <f>_xlfn.XLOOKUP(E49,'DATA รถถึงเส้นรอง KKN'!C:C,'DATA รถถึงเส้นรอง KKN'!L:L)</f>
        <v>#N/A</v>
      </c>
      <c r="H49" s="22" t="e">
        <f>_xlfn.XLOOKUP(E49,#REF!,#REF!)</f>
        <v>#REF!</v>
      </c>
      <c r="I49" s="22" t="e">
        <f>_xlfn.XLOOKUP(E49,#REF!,#REF!)</f>
        <v>#REF!</v>
      </c>
      <c r="J49" s="23" t="e">
        <f>_xlfn.XLOOKUP(E49,'DATA รถถึงเส้นรอง KKN'!C:C,'DATA รถถึงเส้นรอง KKN'!AP:AP)</f>
        <v>#N/A</v>
      </c>
      <c r="K49" s="24" t="e">
        <f>_xlfn.XLOOKUP(E49,'DATA รถถึงเส้นรอง KKN'!C:C,'DATA รถถึงเส้นรอง KKN'!AV:AV)</f>
        <v>#N/A</v>
      </c>
      <c r="L49" s="25" t="e">
        <f t="shared" si="7"/>
        <v>#N/A</v>
      </c>
      <c r="M49" s="24" t="e">
        <f>_xlfn.XLOOKUP(E49,'DATA รถถึงเส้นรอง KKN'!C:C,'DATA รถถึงเส้นรอง KKN'!AW:AW)</f>
        <v>#N/A</v>
      </c>
      <c r="N49" s="24" t="e">
        <f>_xlfn.XLOOKUP(E49,'DATA รถถึงเส้นรอง KKN'!C:C,'DATA รถถึงเส้นรอง KKN'!AY:AY)</f>
        <v>#N/A</v>
      </c>
      <c r="O49" s="26" t="e">
        <f t="shared" si="8"/>
        <v>#N/A</v>
      </c>
      <c r="P49" s="24" t="e">
        <f>_xlfn.XLOOKUP(E49,'DATA รถถึงเส้นรอง KKN'!C:C,'DATA รถถึงเส้นรอง KKN'!AZ:AZ)</f>
        <v>#N/A</v>
      </c>
      <c r="Q49" s="60" t="str">
        <f t="shared" si="0"/>
        <v/>
      </c>
      <c r="R49" s="27"/>
      <c r="S49" s="28"/>
      <c r="T49" s="59" t="e">
        <f t="shared" si="1"/>
        <v>#N/A</v>
      </c>
      <c r="V49" s="25" t="e">
        <f t="shared" si="9"/>
        <v>#N/A</v>
      </c>
      <c r="W49" s="25" t="e">
        <f t="shared" si="10"/>
        <v>#N/A</v>
      </c>
      <c r="X49" s="29" t="e">
        <f t="shared" si="11"/>
        <v>#N/A</v>
      </c>
    </row>
    <row r="50" spans="2:24" ht="20.25">
      <c r="B50" s="20">
        <v>46</v>
      </c>
      <c r="C50" s="58" t="e">
        <f>_xlfn.XLOOKUP(D:D,'DATA รถถึงเส้นรอง KKN'!A:A,'DATA รถถึงเส้นรอง KKN'!B:B)</f>
        <v>#N/A</v>
      </c>
      <c r="D50" s="32" t="e">
        <f>_xlfn.XLOOKUP(E50,'DATA รถถึงเส้นรอง KKN'!C:C,'DATA รถถึงเส้นรอง KKN'!A:A)</f>
        <v>#N/A</v>
      </c>
      <c r="E50" s="32" cm="1">
        <f t="array" ref="E50">INDEX('DATA รถถึงเส้นรอง KKN'!C:C,ROW()-3)</f>
        <v>0</v>
      </c>
      <c r="F50" s="22" t="e">
        <f>_xlfn.XLOOKUP(E50,'DATA รถถึงเส้นรอง KKN'!C:C,'DATA รถถึงเส้นรอง KKN'!O:O)</f>
        <v>#N/A</v>
      </c>
      <c r="G50" s="22" t="e">
        <f>_xlfn.XLOOKUP(E50,'DATA รถถึงเส้นรอง KKN'!C:C,'DATA รถถึงเส้นรอง KKN'!L:L)</f>
        <v>#N/A</v>
      </c>
      <c r="H50" s="22" t="e">
        <f>_xlfn.XLOOKUP(E50,#REF!,#REF!)</f>
        <v>#REF!</v>
      </c>
      <c r="I50" s="22" t="e">
        <f>_xlfn.XLOOKUP(E50,#REF!,#REF!)</f>
        <v>#REF!</v>
      </c>
      <c r="J50" s="23" t="e">
        <f>_xlfn.XLOOKUP(E50,'DATA รถถึงเส้นรอง KKN'!C:C,'DATA รถถึงเส้นรอง KKN'!AP:AP)</f>
        <v>#N/A</v>
      </c>
      <c r="K50" s="24" t="e">
        <f>_xlfn.XLOOKUP(E50,'DATA รถถึงเส้นรอง KKN'!C:C,'DATA รถถึงเส้นรอง KKN'!AV:AV)</f>
        <v>#N/A</v>
      </c>
      <c r="L50" s="25" t="e">
        <f t="shared" si="7"/>
        <v>#N/A</v>
      </c>
      <c r="M50" s="24" t="e">
        <f>_xlfn.XLOOKUP(E50,'DATA รถถึงเส้นรอง KKN'!C:C,'DATA รถถึงเส้นรอง KKN'!AW:AW)</f>
        <v>#N/A</v>
      </c>
      <c r="N50" s="24" t="e">
        <f>_xlfn.XLOOKUP(E50,'DATA รถถึงเส้นรอง KKN'!C:C,'DATA รถถึงเส้นรอง KKN'!AY:AY)</f>
        <v>#N/A</v>
      </c>
      <c r="O50" s="26" t="e">
        <f t="shared" si="8"/>
        <v>#N/A</v>
      </c>
      <c r="P50" s="24" t="e">
        <f>_xlfn.XLOOKUP(E50,'DATA รถถึงเส้นรอง KKN'!C:C,'DATA รถถึงเส้นรอง KKN'!AZ:AZ)</f>
        <v>#N/A</v>
      </c>
      <c r="Q50" s="60" t="str">
        <f t="shared" si="0"/>
        <v/>
      </c>
      <c r="R50" s="27"/>
      <c r="S50" s="28"/>
      <c r="T50" s="59" t="e">
        <f t="shared" si="1"/>
        <v>#N/A</v>
      </c>
      <c r="V50" s="25" t="e">
        <f t="shared" si="9"/>
        <v>#N/A</v>
      </c>
      <c r="W50" s="25" t="e">
        <f t="shared" si="10"/>
        <v>#N/A</v>
      </c>
      <c r="X50" s="29" t="e">
        <f t="shared" si="11"/>
        <v>#N/A</v>
      </c>
    </row>
    <row r="51" spans="2:24" ht="20.25">
      <c r="B51" s="20">
        <v>47</v>
      </c>
      <c r="C51" s="58" t="e">
        <f>_xlfn.XLOOKUP(D:D,'DATA รถถึงเส้นรอง KKN'!A:A,'DATA รถถึงเส้นรอง KKN'!B:B)</f>
        <v>#N/A</v>
      </c>
      <c r="D51" s="32" t="e">
        <f>_xlfn.XLOOKUP(E51,'DATA รถถึงเส้นรอง KKN'!C:C,'DATA รถถึงเส้นรอง KKN'!A:A)</f>
        <v>#N/A</v>
      </c>
      <c r="E51" s="32" cm="1">
        <f t="array" ref="E51">INDEX('DATA รถถึงเส้นรอง KKN'!C:C,ROW()-3)</f>
        <v>0</v>
      </c>
      <c r="F51" s="22" t="e">
        <f>_xlfn.XLOOKUP(E51,'DATA รถถึงเส้นรอง KKN'!C:C,'DATA รถถึงเส้นรอง KKN'!O:O)</f>
        <v>#N/A</v>
      </c>
      <c r="G51" s="22" t="e">
        <f>_xlfn.XLOOKUP(E51,'DATA รถถึงเส้นรอง KKN'!C:C,'DATA รถถึงเส้นรอง KKN'!L:L)</f>
        <v>#N/A</v>
      </c>
      <c r="H51" s="22" t="e">
        <f>_xlfn.XLOOKUP(E51,#REF!,#REF!)</f>
        <v>#REF!</v>
      </c>
      <c r="I51" s="22" t="e">
        <f>_xlfn.XLOOKUP(E51,#REF!,#REF!)</f>
        <v>#REF!</v>
      </c>
      <c r="J51" s="23" t="e">
        <f>_xlfn.XLOOKUP(E51,'DATA รถถึงเส้นรอง KKN'!C:C,'DATA รถถึงเส้นรอง KKN'!AP:AP)</f>
        <v>#N/A</v>
      </c>
      <c r="K51" s="24" t="e">
        <f>_xlfn.XLOOKUP(E51,'DATA รถถึงเส้นรอง KKN'!C:C,'DATA รถถึงเส้นรอง KKN'!AV:AV)</f>
        <v>#N/A</v>
      </c>
      <c r="L51" s="25" t="e">
        <f t="shared" si="7"/>
        <v>#N/A</v>
      </c>
      <c r="M51" s="24" t="e">
        <f>_xlfn.XLOOKUP(E51,'DATA รถถึงเส้นรอง KKN'!C:C,'DATA รถถึงเส้นรอง KKN'!AW:AW)</f>
        <v>#N/A</v>
      </c>
      <c r="N51" s="24" t="e">
        <f>_xlfn.XLOOKUP(E51,'DATA รถถึงเส้นรอง KKN'!C:C,'DATA รถถึงเส้นรอง KKN'!AY:AY)</f>
        <v>#N/A</v>
      </c>
      <c r="O51" s="26" t="e">
        <f t="shared" si="8"/>
        <v>#N/A</v>
      </c>
      <c r="P51" s="24" t="e">
        <f>_xlfn.XLOOKUP(E51,'DATA รถถึงเส้นรอง KKN'!C:C,'DATA รถถึงเส้นรอง KKN'!AZ:AZ)</f>
        <v>#N/A</v>
      </c>
      <c r="Q51" s="60" t="str">
        <f t="shared" si="0"/>
        <v/>
      </c>
      <c r="R51" s="27"/>
      <c r="S51" s="28"/>
      <c r="T51" s="59" t="e">
        <f t="shared" si="1"/>
        <v>#N/A</v>
      </c>
      <c r="V51" s="25" t="e">
        <f t="shared" si="9"/>
        <v>#N/A</v>
      </c>
      <c r="W51" s="25" t="e">
        <f t="shared" si="10"/>
        <v>#N/A</v>
      </c>
      <c r="X51" s="29" t="e">
        <f t="shared" si="11"/>
        <v>#N/A</v>
      </c>
    </row>
    <row r="52" spans="2:24" ht="20.25">
      <c r="B52" s="20">
        <v>48</v>
      </c>
      <c r="C52" s="58" t="e">
        <f>_xlfn.XLOOKUP(D:D,'DATA รถถึงเส้นรอง KKN'!A:A,'DATA รถถึงเส้นรอง KKN'!B:B)</f>
        <v>#N/A</v>
      </c>
      <c r="D52" s="32" t="e">
        <f>_xlfn.XLOOKUP(E52,'DATA รถถึงเส้นรอง KKN'!C:C,'DATA รถถึงเส้นรอง KKN'!A:A)</f>
        <v>#N/A</v>
      </c>
      <c r="E52" s="32" cm="1">
        <f t="array" ref="E52">INDEX('DATA รถถึงเส้นรอง KKN'!C:C,ROW()-3)</f>
        <v>0</v>
      </c>
      <c r="F52" s="22" t="e">
        <f>_xlfn.XLOOKUP(E52,'DATA รถถึงเส้นรอง KKN'!C:C,'DATA รถถึงเส้นรอง KKN'!O:O)</f>
        <v>#N/A</v>
      </c>
      <c r="G52" s="22" t="e">
        <f>_xlfn.XLOOKUP(E52,'DATA รถถึงเส้นรอง KKN'!C:C,'DATA รถถึงเส้นรอง KKN'!L:L)</f>
        <v>#N/A</v>
      </c>
      <c r="H52" s="22" t="e">
        <f>_xlfn.XLOOKUP(E52,#REF!,#REF!)</f>
        <v>#REF!</v>
      </c>
      <c r="I52" s="22" t="e">
        <f>_xlfn.XLOOKUP(E52,#REF!,#REF!)</f>
        <v>#REF!</v>
      </c>
      <c r="J52" s="23" t="e">
        <f>_xlfn.XLOOKUP(E52,'DATA รถถึงเส้นรอง KKN'!C:C,'DATA รถถึงเส้นรอง KKN'!AP:AP)</f>
        <v>#N/A</v>
      </c>
      <c r="K52" s="24" t="e">
        <f>_xlfn.XLOOKUP(E52,'DATA รถถึงเส้นรอง KKN'!C:C,'DATA รถถึงเส้นรอง KKN'!AV:AV)</f>
        <v>#N/A</v>
      </c>
      <c r="L52" s="25" t="e">
        <f t="shared" si="7"/>
        <v>#N/A</v>
      </c>
      <c r="M52" s="24" t="e">
        <f>_xlfn.XLOOKUP(E52,'DATA รถถึงเส้นรอง KKN'!C:C,'DATA รถถึงเส้นรอง KKN'!AW:AW)</f>
        <v>#N/A</v>
      </c>
      <c r="N52" s="24" t="e">
        <f>_xlfn.XLOOKUP(E52,'DATA รถถึงเส้นรอง KKN'!C:C,'DATA รถถึงเส้นรอง KKN'!AY:AY)</f>
        <v>#N/A</v>
      </c>
      <c r="O52" s="26" t="e">
        <f t="shared" si="8"/>
        <v>#N/A</v>
      </c>
      <c r="P52" s="24" t="e">
        <f>_xlfn.XLOOKUP(E52,'DATA รถถึงเส้นรอง KKN'!C:C,'DATA รถถึงเส้นรอง KKN'!AZ:AZ)</f>
        <v>#N/A</v>
      </c>
      <c r="Q52" s="60" t="str">
        <f t="shared" si="0"/>
        <v/>
      </c>
      <c r="R52" s="27"/>
      <c r="S52" s="28"/>
      <c r="T52" s="59" t="e">
        <f t="shared" si="1"/>
        <v>#N/A</v>
      </c>
      <c r="V52" s="25" t="e">
        <f t="shared" si="9"/>
        <v>#N/A</v>
      </c>
      <c r="W52" s="25" t="e">
        <f t="shared" si="10"/>
        <v>#N/A</v>
      </c>
      <c r="X52" s="29" t="e">
        <f t="shared" si="11"/>
        <v>#N/A</v>
      </c>
    </row>
    <row r="53" spans="2:24" ht="20.25">
      <c r="B53" s="20">
        <v>49</v>
      </c>
      <c r="C53" s="58" t="e">
        <f>_xlfn.XLOOKUP(D:D,'DATA รถถึงเส้นรอง KKN'!A:A,'DATA รถถึงเส้นรอง KKN'!B:B)</f>
        <v>#N/A</v>
      </c>
      <c r="D53" s="32" t="e">
        <f>_xlfn.XLOOKUP(E53,'DATA รถถึงเส้นรอง KKN'!C:C,'DATA รถถึงเส้นรอง KKN'!A:A)</f>
        <v>#N/A</v>
      </c>
      <c r="E53" s="32" cm="1">
        <f t="array" ref="E53">INDEX('DATA รถถึงเส้นรอง KKN'!C:C,ROW()-3)</f>
        <v>0</v>
      </c>
      <c r="F53" s="22" t="e">
        <f>_xlfn.XLOOKUP(E53,'DATA รถถึงเส้นรอง KKN'!C:C,'DATA รถถึงเส้นรอง KKN'!O:O)</f>
        <v>#N/A</v>
      </c>
      <c r="G53" s="22" t="e">
        <f>_xlfn.XLOOKUP(E53,'DATA รถถึงเส้นรอง KKN'!C:C,'DATA รถถึงเส้นรอง KKN'!L:L)</f>
        <v>#N/A</v>
      </c>
      <c r="H53" s="22" t="e">
        <f>_xlfn.XLOOKUP(E53,#REF!,#REF!)</f>
        <v>#REF!</v>
      </c>
      <c r="I53" s="22" t="e">
        <f>_xlfn.XLOOKUP(E53,#REF!,#REF!)</f>
        <v>#REF!</v>
      </c>
      <c r="J53" s="23" t="e">
        <f>_xlfn.XLOOKUP(E53,'DATA รถถึงเส้นรอง KKN'!C:C,'DATA รถถึงเส้นรอง KKN'!AP:AP)</f>
        <v>#N/A</v>
      </c>
      <c r="K53" s="24" t="e">
        <f>_xlfn.XLOOKUP(E53,'DATA รถถึงเส้นรอง KKN'!C:C,'DATA รถถึงเส้นรอง KKN'!AV:AV)</f>
        <v>#N/A</v>
      </c>
      <c r="L53" s="25" t="e">
        <f t="shared" si="7"/>
        <v>#N/A</v>
      </c>
      <c r="M53" s="24" t="e">
        <f>_xlfn.XLOOKUP(E53,'DATA รถถึงเส้นรอง KKN'!C:C,'DATA รถถึงเส้นรอง KKN'!AW:AW)</f>
        <v>#N/A</v>
      </c>
      <c r="N53" s="24" t="e">
        <f>_xlfn.XLOOKUP(E53,'DATA รถถึงเส้นรอง KKN'!C:C,'DATA รถถึงเส้นรอง KKN'!AY:AY)</f>
        <v>#N/A</v>
      </c>
      <c r="O53" s="26" t="e">
        <f t="shared" si="8"/>
        <v>#N/A</v>
      </c>
      <c r="P53" s="24" t="e">
        <f>_xlfn.XLOOKUP(E53,'DATA รถถึงเส้นรอง KKN'!C:C,'DATA รถถึงเส้นรอง KKN'!AZ:AZ)</f>
        <v>#N/A</v>
      </c>
      <c r="Q53" s="60" t="str">
        <f t="shared" si="0"/>
        <v/>
      </c>
      <c r="R53" s="27"/>
      <c r="S53" s="28"/>
      <c r="T53" s="59" t="e">
        <f t="shared" si="1"/>
        <v>#N/A</v>
      </c>
      <c r="V53" s="25" t="e">
        <f t="shared" si="9"/>
        <v>#N/A</v>
      </c>
      <c r="W53" s="25" t="e">
        <f t="shared" si="10"/>
        <v>#N/A</v>
      </c>
      <c r="X53" s="29" t="e">
        <f t="shared" si="11"/>
        <v>#N/A</v>
      </c>
    </row>
    <row r="54" spans="2:24" ht="20.25">
      <c r="B54" s="20">
        <v>50</v>
      </c>
      <c r="C54" s="58" t="e">
        <f>_xlfn.XLOOKUP(D:D,'DATA รถถึงเส้นรอง KKN'!A:A,'DATA รถถึงเส้นรอง KKN'!B:B)</f>
        <v>#N/A</v>
      </c>
      <c r="D54" s="32" t="e">
        <f>_xlfn.XLOOKUP(E54,'DATA รถถึงเส้นรอง KKN'!C:C,'DATA รถถึงเส้นรอง KKN'!A:A)</f>
        <v>#N/A</v>
      </c>
      <c r="E54" s="32" cm="1">
        <f t="array" ref="E54">INDEX('DATA รถถึงเส้นรอง KKN'!C:C,ROW()-3)</f>
        <v>0</v>
      </c>
      <c r="F54" s="22" t="e">
        <f>_xlfn.XLOOKUP(E54,'DATA รถถึงเส้นรอง KKN'!C:C,'DATA รถถึงเส้นรอง KKN'!O:O)</f>
        <v>#N/A</v>
      </c>
      <c r="G54" s="22" t="e">
        <f>_xlfn.XLOOKUP(E54,'DATA รถถึงเส้นรอง KKN'!C:C,'DATA รถถึงเส้นรอง KKN'!L:L)</f>
        <v>#N/A</v>
      </c>
      <c r="H54" s="22" t="e">
        <f>_xlfn.XLOOKUP(E54,#REF!,#REF!)</f>
        <v>#REF!</v>
      </c>
      <c r="I54" s="22" t="e">
        <f>_xlfn.XLOOKUP(E54,#REF!,#REF!)</f>
        <v>#REF!</v>
      </c>
      <c r="J54" s="23" t="e">
        <f>_xlfn.XLOOKUP(E54,'DATA รถถึงเส้นรอง KKN'!C:C,'DATA รถถึงเส้นรอง KKN'!AP:AP)</f>
        <v>#N/A</v>
      </c>
      <c r="K54" s="24" t="e">
        <f>_xlfn.XLOOKUP(E54,'DATA รถถึงเส้นรอง KKN'!C:C,'DATA รถถึงเส้นรอง KKN'!AV:AV)</f>
        <v>#N/A</v>
      </c>
      <c r="L54" s="25" t="e">
        <f t="shared" si="7"/>
        <v>#N/A</v>
      </c>
      <c r="M54" s="24" t="e">
        <f>_xlfn.XLOOKUP(E54,'DATA รถถึงเส้นรอง KKN'!C:C,'DATA รถถึงเส้นรอง KKN'!AW:AW)</f>
        <v>#N/A</v>
      </c>
      <c r="N54" s="24" t="e">
        <f>_xlfn.XLOOKUP(E54,'DATA รถถึงเส้นรอง KKN'!C:C,'DATA รถถึงเส้นรอง KKN'!AY:AY)</f>
        <v>#N/A</v>
      </c>
      <c r="O54" s="26" t="e">
        <f t="shared" si="8"/>
        <v>#N/A</v>
      </c>
      <c r="P54" s="24" t="e">
        <f>_xlfn.XLOOKUP(E54,'DATA รถถึงเส้นรอง KKN'!C:C,'DATA รถถึงเส้นรอง KKN'!AZ:AZ)</f>
        <v>#N/A</v>
      </c>
      <c r="Q54" s="60" t="str">
        <f t="shared" si="0"/>
        <v/>
      </c>
      <c r="R54" s="27"/>
      <c r="S54" s="28"/>
      <c r="T54" s="59" t="e">
        <f t="shared" si="1"/>
        <v>#N/A</v>
      </c>
      <c r="V54" s="25" t="e">
        <f t="shared" si="9"/>
        <v>#N/A</v>
      </c>
      <c r="W54" s="25" t="e">
        <f t="shared" si="10"/>
        <v>#N/A</v>
      </c>
      <c r="X54" s="29" t="e">
        <f t="shared" si="11"/>
        <v>#N/A</v>
      </c>
    </row>
    <row r="55" spans="2:24" ht="20.25">
      <c r="B55" s="20">
        <v>51</v>
      </c>
      <c r="C55" s="58" t="e">
        <f>_xlfn.XLOOKUP(D:D,'DATA รถถึงเส้นรอง KKN'!A:A,'DATA รถถึงเส้นรอง KKN'!B:B)</f>
        <v>#N/A</v>
      </c>
      <c r="D55" s="32" t="e">
        <f>_xlfn.XLOOKUP(E55,'DATA รถถึงเส้นรอง KKN'!C:C,'DATA รถถึงเส้นรอง KKN'!A:A)</f>
        <v>#N/A</v>
      </c>
      <c r="E55" s="32" cm="1">
        <f t="array" ref="E55">INDEX('DATA รถถึงเส้นรอง KKN'!C:C,ROW()-3)</f>
        <v>0</v>
      </c>
      <c r="F55" s="22" t="e">
        <f>_xlfn.XLOOKUP(E55,'DATA รถถึงเส้นรอง KKN'!C:C,'DATA รถถึงเส้นรอง KKN'!O:O)</f>
        <v>#N/A</v>
      </c>
      <c r="G55" s="22" t="e">
        <f>_xlfn.XLOOKUP(E55,'DATA รถถึงเส้นรอง KKN'!C:C,'DATA รถถึงเส้นรอง KKN'!L:L)</f>
        <v>#N/A</v>
      </c>
      <c r="H55" s="22" t="e">
        <f>_xlfn.XLOOKUP(E55,#REF!,#REF!)</f>
        <v>#REF!</v>
      </c>
      <c r="I55" s="22" t="e">
        <f>_xlfn.XLOOKUP(E55,#REF!,#REF!)</f>
        <v>#REF!</v>
      </c>
      <c r="J55" s="23" t="e">
        <f>_xlfn.XLOOKUP(E55,'DATA รถถึงเส้นรอง KKN'!C:C,'DATA รถถึงเส้นรอง KKN'!AP:AP)</f>
        <v>#N/A</v>
      </c>
      <c r="K55" s="24" t="e">
        <f>_xlfn.XLOOKUP(E55,'DATA รถถึงเส้นรอง KKN'!C:C,'DATA รถถึงเส้นรอง KKN'!AV:AV)</f>
        <v>#N/A</v>
      </c>
      <c r="L55" s="25" t="e">
        <f t="shared" si="7"/>
        <v>#N/A</v>
      </c>
      <c r="M55" s="24" t="e">
        <f>_xlfn.XLOOKUP(E55,'DATA รถถึงเส้นรอง KKN'!C:C,'DATA รถถึงเส้นรอง KKN'!AW:AW)</f>
        <v>#N/A</v>
      </c>
      <c r="N55" s="24" t="e">
        <f>_xlfn.XLOOKUP(E55,'DATA รถถึงเส้นรอง KKN'!C:C,'DATA รถถึงเส้นรอง KKN'!AY:AY)</f>
        <v>#N/A</v>
      </c>
      <c r="O55" s="26" t="e">
        <f t="shared" si="8"/>
        <v>#N/A</v>
      </c>
      <c r="P55" s="24" t="e">
        <f>_xlfn.XLOOKUP(E55,'DATA รถถึงเส้นรอง KKN'!C:C,'DATA รถถึงเส้นรอง KKN'!AZ:AZ)</f>
        <v>#N/A</v>
      </c>
      <c r="Q55" s="60" t="str">
        <f t="shared" si="0"/>
        <v/>
      </c>
      <c r="R55" s="27"/>
      <c r="S55" s="28"/>
      <c r="T55" s="59" t="e">
        <f t="shared" si="1"/>
        <v>#N/A</v>
      </c>
      <c r="V55" s="25" t="e">
        <f t="shared" si="9"/>
        <v>#N/A</v>
      </c>
      <c r="W55" s="25" t="e">
        <f t="shared" si="10"/>
        <v>#N/A</v>
      </c>
      <c r="X55" s="29" t="e">
        <f t="shared" si="11"/>
        <v>#N/A</v>
      </c>
    </row>
    <row r="56" spans="2:24" ht="20.25">
      <c r="B56" s="20">
        <v>52</v>
      </c>
      <c r="C56" s="58" t="e">
        <f>_xlfn.XLOOKUP(D:D,'DATA รถถึงเส้นรอง KKN'!A:A,'DATA รถถึงเส้นรอง KKN'!B:B)</f>
        <v>#N/A</v>
      </c>
      <c r="D56" s="32" t="e">
        <f>_xlfn.XLOOKUP(E56,'DATA รถถึงเส้นรอง KKN'!C:C,'DATA รถถึงเส้นรอง KKN'!A:A)</f>
        <v>#N/A</v>
      </c>
      <c r="E56" s="32" cm="1">
        <f t="array" ref="E56">INDEX('DATA รถถึงเส้นรอง KKN'!C:C,ROW()-3)</f>
        <v>0</v>
      </c>
      <c r="F56" s="22" t="e">
        <f>_xlfn.XLOOKUP(E56,'DATA รถถึงเส้นรอง KKN'!C:C,'DATA รถถึงเส้นรอง KKN'!O:O)</f>
        <v>#N/A</v>
      </c>
      <c r="G56" s="22" t="e">
        <f>_xlfn.XLOOKUP(E56,'DATA รถถึงเส้นรอง KKN'!C:C,'DATA รถถึงเส้นรอง KKN'!L:L)</f>
        <v>#N/A</v>
      </c>
      <c r="H56" s="22" t="e">
        <f>_xlfn.XLOOKUP(E56,#REF!,#REF!)</f>
        <v>#REF!</v>
      </c>
      <c r="I56" s="22" t="e">
        <f>_xlfn.XLOOKUP(E56,#REF!,#REF!)</f>
        <v>#REF!</v>
      </c>
      <c r="J56" s="23" t="e">
        <f>_xlfn.XLOOKUP(E56,'DATA รถถึงเส้นรอง KKN'!C:C,'DATA รถถึงเส้นรอง KKN'!AP:AP)</f>
        <v>#N/A</v>
      </c>
      <c r="K56" s="24" t="e">
        <f>_xlfn.XLOOKUP(E56,'DATA รถถึงเส้นรอง KKN'!C:C,'DATA รถถึงเส้นรอง KKN'!AV:AV)</f>
        <v>#N/A</v>
      </c>
      <c r="L56" s="25" t="e">
        <f t="shared" si="7"/>
        <v>#N/A</v>
      </c>
      <c r="M56" s="24" t="e">
        <f>_xlfn.XLOOKUP(E56,'DATA รถถึงเส้นรอง KKN'!C:C,'DATA รถถึงเส้นรอง KKN'!AW:AW)</f>
        <v>#N/A</v>
      </c>
      <c r="N56" s="24" t="e">
        <f>_xlfn.XLOOKUP(E56,'DATA รถถึงเส้นรอง KKN'!C:C,'DATA รถถึงเส้นรอง KKN'!AY:AY)</f>
        <v>#N/A</v>
      </c>
      <c r="O56" s="26" t="e">
        <f t="shared" si="8"/>
        <v>#N/A</v>
      </c>
      <c r="P56" s="24" t="e">
        <f>_xlfn.XLOOKUP(E56,'DATA รถถึงเส้นรอง KKN'!C:C,'DATA รถถึงเส้นรอง KKN'!AZ:AZ)</f>
        <v>#N/A</v>
      </c>
      <c r="Q56" s="60" t="str">
        <f t="shared" si="0"/>
        <v/>
      </c>
      <c r="R56" s="27"/>
      <c r="S56" s="28"/>
      <c r="T56" s="59" t="e">
        <f t="shared" si="1"/>
        <v>#N/A</v>
      </c>
      <c r="V56" s="25" t="e">
        <f t="shared" si="9"/>
        <v>#N/A</v>
      </c>
      <c r="W56" s="25" t="e">
        <f t="shared" si="10"/>
        <v>#N/A</v>
      </c>
      <c r="X56" s="29" t="e">
        <f t="shared" si="11"/>
        <v>#N/A</v>
      </c>
    </row>
    <row r="57" spans="2:24" ht="20.25">
      <c r="B57" s="20">
        <v>53</v>
      </c>
      <c r="C57" s="58" t="e">
        <f>_xlfn.XLOOKUP(D:D,'DATA รถถึงเส้นรอง KKN'!A:A,'DATA รถถึงเส้นรอง KKN'!B:B)</f>
        <v>#N/A</v>
      </c>
      <c r="D57" s="32" t="e">
        <f>_xlfn.XLOOKUP(E57,'DATA รถถึงเส้นรอง KKN'!C:C,'DATA รถถึงเส้นรอง KKN'!A:A)</f>
        <v>#N/A</v>
      </c>
      <c r="E57" s="32" cm="1">
        <f t="array" ref="E57">INDEX('DATA รถถึงเส้นรอง KKN'!C:C,ROW()-3)</f>
        <v>0</v>
      </c>
      <c r="F57" s="22" t="e">
        <f>_xlfn.XLOOKUP(E57,'DATA รถถึงเส้นรอง KKN'!C:C,'DATA รถถึงเส้นรอง KKN'!O:O)</f>
        <v>#N/A</v>
      </c>
      <c r="G57" s="22" t="e">
        <f>_xlfn.XLOOKUP(E57,'DATA รถถึงเส้นรอง KKN'!C:C,'DATA รถถึงเส้นรอง KKN'!L:L)</f>
        <v>#N/A</v>
      </c>
      <c r="H57" s="22" t="e">
        <f>_xlfn.XLOOKUP(E57,#REF!,#REF!)</f>
        <v>#REF!</v>
      </c>
      <c r="I57" s="22" t="e">
        <f>_xlfn.XLOOKUP(E57,#REF!,#REF!)</f>
        <v>#REF!</v>
      </c>
      <c r="J57" s="23" t="e">
        <f>_xlfn.XLOOKUP(E57,'DATA รถถึงเส้นรอง KKN'!C:C,'DATA รถถึงเส้นรอง KKN'!AP:AP)</f>
        <v>#N/A</v>
      </c>
      <c r="K57" s="24" t="e">
        <f>_xlfn.XLOOKUP(E57,'DATA รถถึงเส้นรอง KKN'!C:C,'DATA รถถึงเส้นรอง KKN'!AV:AV)</f>
        <v>#N/A</v>
      </c>
      <c r="L57" s="25" t="e">
        <f t="shared" si="7"/>
        <v>#N/A</v>
      </c>
      <c r="M57" s="24" t="e">
        <f>_xlfn.XLOOKUP(E57,'DATA รถถึงเส้นรอง KKN'!C:C,'DATA รถถึงเส้นรอง KKN'!AW:AW)</f>
        <v>#N/A</v>
      </c>
      <c r="N57" s="24" t="e">
        <f>_xlfn.XLOOKUP(E57,'DATA รถถึงเส้นรอง KKN'!C:C,'DATA รถถึงเส้นรอง KKN'!AY:AY)</f>
        <v>#N/A</v>
      </c>
      <c r="O57" s="26" t="e">
        <f t="shared" si="8"/>
        <v>#N/A</v>
      </c>
      <c r="P57" s="24" t="e">
        <f>_xlfn.XLOOKUP(E57,'DATA รถถึงเส้นรอง KKN'!C:C,'DATA รถถึงเส้นรอง KKN'!AZ:AZ)</f>
        <v>#N/A</v>
      </c>
      <c r="Q57" s="60" t="str">
        <f t="shared" si="0"/>
        <v/>
      </c>
      <c r="R57" s="27"/>
      <c r="S57" s="28"/>
      <c r="T57" s="59" t="e">
        <f t="shared" si="1"/>
        <v>#N/A</v>
      </c>
      <c r="V57" s="25" t="e">
        <f t="shared" si="9"/>
        <v>#N/A</v>
      </c>
      <c r="W57" s="25" t="e">
        <f t="shared" si="10"/>
        <v>#N/A</v>
      </c>
      <c r="X57" s="29" t="e">
        <f t="shared" si="11"/>
        <v>#N/A</v>
      </c>
    </row>
    <row r="58" spans="2:24" ht="20.25">
      <c r="B58" s="20">
        <v>54</v>
      </c>
      <c r="C58" s="58" t="e">
        <f>_xlfn.XLOOKUP(D:D,'DATA รถถึงเส้นรอง KKN'!A:A,'DATA รถถึงเส้นรอง KKN'!B:B)</f>
        <v>#N/A</v>
      </c>
      <c r="D58" s="32" t="e">
        <f>_xlfn.XLOOKUP(E58,'DATA รถถึงเส้นรอง KKN'!C:C,'DATA รถถึงเส้นรอง KKN'!A:A)</f>
        <v>#N/A</v>
      </c>
      <c r="E58" s="32" cm="1">
        <f t="array" ref="E58">INDEX('DATA รถถึงเส้นรอง KKN'!C:C,ROW()-3)</f>
        <v>0</v>
      </c>
      <c r="F58" s="22" t="e">
        <f>_xlfn.XLOOKUP(E58,'DATA รถถึงเส้นรอง KKN'!C:C,'DATA รถถึงเส้นรอง KKN'!O:O)</f>
        <v>#N/A</v>
      </c>
      <c r="G58" s="22" t="e">
        <f>_xlfn.XLOOKUP(E58,'DATA รถถึงเส้นรอง KKN'!C:C,'DATA รถถึงเส้นรอง KKN'!L:L)</f>
        <v>#N/A</v>
      </c>
      <c r="H58" s="22" t="e">
        <f>_xlfn.XLOOKUP(E58,#REF!,#REF!)</f>
        <v>#REF!</v>
      </c>
      <c r="I58" s="22" t="e">
        <f>_xlfn.XLOOKUP(E58,#REF!,#REF!)</f>
        <v>#REF!</v>
      </c>
      <c r="J58" s="23" t="e">
        <f>_xlfn.XLOOKUP(E58,'DATA รถถึงเส้นรอง KKN'!C:C,'DATA รถถึงเส้นรอง KKN'!AP:AP)</f>
        <v>#N/A</v>
      </c>
      <c r="K58" s="24" t="e">
        <f>_xlfn.XLOOKUP(E58,'DATA รถถึงเส้นรอง KKN'!C:C,'DATA รถถึงเส้นรอง KKN'!AV:AV)</f>
        <v>#N/A</v>
      </c>
      <c r="L58" s="25" t="e">
        <f t="shared" si="7"/>
        <v>#N/A</v>
      </c>
      <c r="M58" s="24" t="e">
        <f>_xlfn.XLOOKUP(E58,'DATA รถถึงเส้นรอง KKN'!C:C,'DATA รถถึงเส้นรอง KKN'!AW:AW)</f>
        <v>#N/A</v>
      </c>
      <c r="N58" s="24" t="e">
        <f>_xlfn.XLOOKUP(E58,'DATA รถถึงเส้นรอง KKN'!C:C,'DATA รถถึงเส้นรอง KKN'!AY:AY)</f>
        <v>#N/A</v>
      </c>
      <c r="O58" s="26" t="e">
        <f t="shared" si="8"/>
        <v>#N/A</v>
      </c>
      <c r="P58" s="24" t="e">
        <f>_xlfn.XLOOKUP(E58,'DATA รถถึงเส้นรอง KKN'!C:C,'DATA รถถึงเส้นรอง KKN'!AZ:AZ)</f>
        <v>#N/A</v>
      </c>
      <c r="Q58" s="60" t="str">
        <f t="shared" si="0"/>
        <v/>
      </c>
      <c r="R58" s="27"/>
      <c r="S58" s="28"/>
      <c r="T58" s="59" t="e">
        <f t="shared" si="1"/>
        <v>#N/A</v>
      </c>
      <c r="V58" s="25" t="e">
        <f t="shared" si="9"/>
        <v>#N/A</v>
      </c>
      <c r="W58" s="25" t="e">
        <f t="shared" si="10"/>
        <v>#N/A</v>
      </c>
      <c r="X58" s="29" t="e">
        <f t="shared" si="11"/>
        <v>#N/A</v>
      </c>
    </row>
    <row r="59" spans="2:24" ht="20.25">
      <c r="B59" s="20">
        <v>55</v>
      </c>
      <c r="C59" s="58" t="e">
        <f>_xlfn.XLOOKUP(D:D,'DATA รถถึงเส้นรอง KKN'!A:A,'DATA รถถึงเส้นรอง KKN'!B:B)</f>
        <v>#N/A</v>
      </c>
      <c r="D59" s="32" t="e">
        <f>_xlfn.XLOOKUP(E59,'DATA รถถึงเส้นรอง KKN'!C:C,'DATA รถถึงเส้นรอง KKN'!A:A)</f>
        <v>#N/A</v>
      </c>
      <c r="E59" s="32" cm="1">
        <f t="array" ref="E59">INDEX('DATA รถถึงเส้นรอง KKN'!C:C,ROW()-3)</f>
        <v>0</v>
      </c>
      <c r="F59" s="22" t="e">
        <f>_xlfn.XLOOKUP(E59,'DATA รถถึงเส้นรอง KKN'!C:C,'DATA รถถึงเส้นรอง KKN'!O:O)</f>
        <v>#N/A</v>
      </c>
      <c r="G59" s="22" t="e">
        <f>_xlfn.XLOOKUP(E59,'DATA รถถึงเส้นรอง KKN'!C:C,'DATA รถถึงเส้นรอง KKN'!L:L)</f>
        <v>#N/A</v>
      </c>
      <c r="H59" s="22" t="e">
        <f>_xlfn.XLOOKUP(E59,#REF!,#REF!)</f>
        <v>#REF!</v>
      </c>
      <c r="I59" s="22" t="e">
        <f>_xlfn.XLOOKUP(E59,#REF!,#REF!)</f>
        <v>#REF!</v>
      </c>
      <c r="J59" s="23" t="e">
        <f>_xlfn.XLOOKUP(E59,'DATA รถถึงเส้นรอง KKN'!C:C,'DATA รถถึงเส้นรอง KKN'!AP:AP)</f>
        <v>#N/A</v>
      </c>
      <c r="K59" s="24" t="e">
        <f>_xlfn.XLOOKUP(E59,'DATA รถถึงเส้นรอง KKN'!C:C,'DATA รถถึงเส้นรอง KKN'!AV:AV)</f>
        <v>#N/A</v>
      </c>
      <c r="L59" s="25" t="e">
        <f t="shared" si="7"/>
        <v>#N/A</v>
      </c>
      <c r="M59" s="24" t="e">
        <f>_xlfn.XLOOKUP(E59,'DATA รถถึงเส้นรอง KKN'!C:C,'DATA รถถึงเส้นรอง KKN'!AW:AW)</f>
        <v>#N/A</v>
      </c>
      <c r="N59" s="24" t="e">
        <f>_xlfn.XLOOKUP(E59,'DATA รถถึงเส้นรอง KKN'!C:C,'DATA รถถึงเส้นรอง KKN'!AY:AY)</f>
        <v>#N/A</v>
      </c>
      <c r="O59" s="26" t="e">
        <f t="shared" si="8"/>
        <v>#N/A</v>
      </c>
      <c r="P59" s="24" t="e">
        <f>_xlfn.XLOOKUP(E59,'DATA รถถึงเส้นรอง KKN'!C:C,'DATA รถถึงเส้นรอง KKN'!AZ:AZ)</f>
        <v>#N/A</v>
      </c>
      <c r="Q59" s="60" t="str">
        <f t="shared" si="0"/>
        <v/>
      </c>
      <c r="R59" s="27"/>
      <c r="S59" s="28"/>
      <c r="T59" s="59" t="e">
        <f t="shared" si="1"/>
        <v>#N/A</v>
      </c>
      <c r="V59" s="25" t="e">
        <f t="shared" si="9"/>
        <v>#N/A</v>
      </c>
      <c r="W59" s="25" t="e">
        <f t="shared" si="10"/>
        <v>#N/A</v>
      </c>
      <c r="X59" s="29" t="e">
        <f t="shared" si="11"/>
        <v>#N/A</v>
      </c>
    </row>
    <row r="60" spans="2:24" ht="20.25">
      <c r="B60" s="20">
        <v>56</v>
      </c>
      <c r="C60" s="58" t="e">
        <f>_xlfn.XLOOKUP(D:D,'DATA รถถึงเส้นรอง KKN'!A:A,'DATA รถถึงเส้นรอง KKN'!B:B)</f>
        <v>#N/A</v>
      </c>
      <c r="D60" s="32" t="e">
        <f>_xlfn.XLOOKUP(E60,'DATA รถถึงเส้นรอง KKN'!C:C,'DATA รถถึงเส้นรอง KKN'!A:A)</f>
        <v>#N/A</v>
      </c>
      <c r="E60" s="32" cm="1">
        <f t="array" ref="E60">INDEX('DATA รถถึงเส้นรอง KKN'!C:C,ROW()-3)</f>
        <v>0</v>
      </c>
      <c r="F60" s="22" t="e">
        <f>_xlfn.XLOOKUP(E60,'DATA รถถึงเส้นรอง KKN'!C:C,'DATA รถถึงเส้นรอง KKN'!O:O)</f>
        <v>#N/A</v>
      </c>
      <c r="G60" s="22" t="e">
        <f>_xlfn.XLOOKUP(E60,'DATA รถถึงเส้นรอง KKN'!C:C,'DATA รถถึงเส้นรอง KKN'!L:L)</f>
        <v>#N/A</v>
      </c>
      <c r="H60" s="22" t="e">
        <f>_xlfn.XLOOKUP(E60,#REF!,#REF!)</f>
        <v>#REF!</v>
      </c>
      <c r="I60" s="22" t="e">
        <f>_xlfn.XLOOKUP(E60,#REF!,#REF!)</f>
        <v>#REF!</v>
      </c>
      <c r="J60" s="23" t="e">
        <f>_xlfn.XLOOKUP(E60,'DATA รถถึงเส้นรอง KKN'!C:C,'DATA รถถึงเส้นรอง KKN'!AP:AP)</f>
        <v>#N/A</v>
      </c>
      <c r="K60" s="24" t="e">
        <f>_xlfn.XLOOKUP(E60,'DATA รถถึงเส้นรอง KKN'!C:C,'DATA รถถึงเส้นรอง KKN'!AV:AV)</f>
        <v>#N/A</v>
      </c>
      <c r="L60" s="25" t="e">
        <f t="shared" si="7"/>
        <v>#N/A</v>
      </c>
      <c r="M60" s="24" t="e">
        <f>_xlfn.XLOOKUP(E60,'DATA รถถึงเส้นรอง KKN'!C:C,'DATA รถถึงเส้นรอง KKN'!AW:AW)</f>
        <v>#N/A</v>
      </c>
      <c r="N60" s="24" t="e">
        <f>_xlfn.XLOOKUP(E60,'DATA รถถึงเส้นรอง KKN'!C:C,'DATA รถถึงเส้นรอง KKN'!AY:AY)</f>
        <v>#N/A</v>
      </c>
      <c r="O60" s="26" t="e">
        <f t="shared" si="8"/>
        <v>#N/A</v>
      </c>
      <c r="P60" s="24" t="e">
        <f>_xlfn.XLOOKUP(E60,'DATA รถถึงเส้นรอง KKN'!C:C,'DATA รถถึงเส้นรอง KKN'!AZ:AZ)</f>
        <v>#N/A</v>
      </c>
      <c r="Q60" s="60" t="str">
        <f t="shared" si="0"/>
        <v/>
      </c>
      <c r="R60" s="27"/>
      <c r="S60" s="28"/>
      <c r="T60" s="59" t="e">
        <f t="shared" si="1"/>
        <v>#N/A</v>
      </c>
      <c r="V60" s="25" t="e">
        <f t="shared" si="9"/>
        <v>#N/A</v>
      </c>
      <c r="W60" s="25" t="e">
        <f t="shared" si="10"/>
        <v>#N/A</v>
      </c>
      <c r="X60" s="29" t="e">
        <f t="shared" si="11"/>
        <v>#N/A</v>
      </c>
    </row>
    <row r="61" spans="2:24" ht="20.25">
      <c r="B61" s="20">
        <v>57</v>
      </c>
      <c r="C61" s="58" t="e">
        <f>_xlfn.XLOOKUP(D:D,'DATA รถถึงเส้นรอง KKN'!A:A,'DATA รถถึงเส้นรอง KKN'!B:B)</f>
        <v>#N/A</v>
      </c>
      <c r="D61" s="32" t="e">
        <f>_xlfn.XLOOKUP(E61,'DATA รถถึงเส้นรอง KKN'!C:C,'DATA รถถึงเส้นรอง KKN'!A:A)</f>
        <v>#N/A</v>
      </c>
      <c r="E61" s="32" cm="1">
        <f t="array" ref="E61">INDEX('DATA รถถึงเส้นรอง KKN'!C:C,ROW()-3)</f>
        <v>0</v>
      </c>
      <c r="F61" s="22" t="e">
        <f>_xlfn.XLOOKUP(E61,'DATA รถถึงเส้นรอง KKN'!C:C,'DATA รถถึงเส้นรอง KKN'!O:O)</f>
        <v>#N/A</v>
      </c>
      <c r="G61" s="22" t="e">
        <f>_xlfn.XLOOKUP(E61,'DATA รถถึงเส้นรอง KKN'!C:C,'DATA รถถึงเส้นรอง KKN'!L:L)</f>
        <v>#N/A</v>
      </c>
      <c r="H61" s="22" t="e">
        <f>_xlfn.XLOOKUP(E61,#REF!,#REF!)</f>
        <v>#REF!</v>
      </c>
      <c r="I61" s="22" t="e">
        <f>_xlfn.XLOOKUP(E61,#REF!,#REF!)</f>
        <v>#REF!</v>
      </c>
      <c r="J61" s="23" t="e">
        <f>_xlfn.XLOOKUP(E61,'DATA รถถึงเส้นรอง KKN'!C:C,'DATA รถถึงเส้นรอง KKN'!AP:AP)</f>
        <v>#N/A</v>
      </c>
      <c r="K61" s="24" t="e">
        <f>_xlfn.XLOOKUP(E61,'DATA รถถึงเส้นรอง KKN'!C:C,'DATA รถถึงเส้นรอง KKN'!AV:AV)</f>
        <v>#N/A</v>
      </c>
      <c r="L61" s="25" t="e">
        <f t="shared" si="7"/>
        <v>#N/A</v>
      </c>
      <c r="M61" s="24" t="e">
        <f>_xlfn.XLOOKUP(E61,'DATA รถถึงเส้นรอง KKN'!C:C,'DATA รถถึงเส้นรอง KKN'!AW:AW)</f>
        <v>#N/A</v>
      </c>
      <c r="N61" s="24" t="e">
        <f>_xlfn.XLOOKUP(E61,'DATA รถถึงเส้นรอง KKN'!C:C,'DATA รถถึงเส้นรอง KKN'!AY:AY)</f>
        <v>#N/A</v>
      </c>
      <c r="O61" s="26" t="e">
        <f t="shared" si="8"/>
        <v>#N/A</v>
      </c>
      <c r="P61" s="24" t="e">
        <f>_xlfn.XLOOKUP(E61,'DATA รถถึงเส้นรอง KKN'!C:C,'DATA รถถึงเส้นรอง KKN'!AZ:AZ)</f>
        <v>#N/A</v>
      </c>
      <c r="Q61" s="60" t="str">
        <f t="shared" si="0"/>
        <v/>
      </c>
      <c r="R61" s="27"/>
      <c r="S61" s="28"/>
      <c r="T61" s="59" t="e">
        <f t="shared" si="1"/>
        <v>#N/A</v>
      </c>
      <c r="V61" s="25" t="e">
        <f t="shared" si="9"/>
        <v>#N/A</v>
      </c>
      <c r="W61" s="25" t="e">
        <f t="shared" si="10"/>
        <v>#N/A</v>
      </c>
      <c r="X61" s="29" t="e">
        <f t="shared" si="11"/>
        <v>#N/A</v>
      </c>
    </row>
    <row r="62" spans="2:24" ht="20.25">
      <c r="B62" s="20">
        <v>58</v>
      </c>
      <c r="C62" s="58" t="e">
        <f>_xlfn.XLOOKUP(D:D,'DATA รถถึงเส้นรอง KKN'!A:A,'DATA รถถึงเส้นรอง KKN'!B:B)</f>
        <v>#N/A</v>
      </c>
      <c r="D62" s="32" t="e">
        <f>_xlfn.XLOOKUP(E62,'DATA รถถึงเส้นรอง KKN'!C:C,'DATA รถถึงเส้นรอง KKN'!A:A)</f>
        <v>#N/A</v>
      </c>
      <c r="E62" s="32" cm="1">
        <f t="array" ref="E62">INDEX('DATA รถถึงเส้นรอง KKN'!C:C,ROW()-3)</f>
        <v>0</v>
      </c>
      <c r="F62" s="22" t="e">
        <f>_xlfn.XLOOKUP(E62,'DATA รถถึงเส้นรอง KKN'!C:C,'DATA รถถึงเส้นรอง KKN'!O:O)</f>
        <v>#N/A</v>
      </c>
      <c r="G62" s="22" t="e">
        <f>_xlfn.XLOOKUP(E62,'DATA รถถึงเส้นรอง KKN'!C:C,'DATA รถถึงเส้นรอง KKN'!L:L)</f>
        <v>#N/A</v>
      </c>
      <c r="H62" s="22" t="e">
        <f>_xlfn.XLOOKUP(E62,#REF!,#REF!)</f>
        <v>#REF!</v>
      </c>
      <c r="I62" s="22" t="e">
        <f>_xlfn.XLOOKUP(E62,#REF!,#REF!)</f>
        <v>#REF!</v>
      </c>
      <c r="J62" s="23" t="e">
        <f>_xlfn.XLOOKUP(E62,'DATA รถถึงเส้นรอง KKN'!C:C,'DATA รถถึงเส้นรอง KKN'!AP:AP)</f>
        <v>#N/A</v>
      </c>
      <c r="K62" s="24" t="e">
        <f>_xlfn.XLOOKUP(E62,'DATA รถถึงเส้นรอง KKN'!C:C,'DATA รถถึงเส้นรอง KKN'!AV:AV)</f>
        <v>#N/A</v>
      </c>
      <c r="L62" s="25" t="e">
        <f t="shared" si="7"/>
        <v>#N/A</v>
      </c>
      <c r="M62" s="24" t="e">
        <f>_xlfn.XLOOKUP(E62,'DATA รถถึงเส้นรอง KKN'!C:C,'DATA รถถึงเส้นรอง KKN'!AW:AW)</f>
        <v>#N/A</v>
      </c>
      <c r="N62" s="24" t="e">
        <f>_xlfn.XLOOKUP(E62,'DATA รถถึงเส้นรอง KKN'!C:C,'DATA รถถึงเส้นรอง KKN'!AY:AY)</f>
        <v>#N/A</v>
      </c>
      <c r="O62" s="26" t="e">
        <f t="shared" si="8"/>
        <v>#N/A</v>
      </c>
      <c r="P62" s="24" t="e">
        <f>_xlfn.XLOOKUP(E62,'DATA รถถึงเส้นรอง KKN'!C:C,'DATA รถถึงเส้นรอง KKN'!AZ:AZ)</f>
        <v>#N/A</v>
      </c>
      <c r="Q62" s="60" t="str">
        <f t="shared" si="0"/>
        <v/>
      </c>
      <c r="R62" s="27"/>
      <c r="S62" s="28"/>
      <c r="T62" s="59" t="e">
        <f t="shared" si="1"/>
        <v>#N/A</v>
      </c>
      <c r="V62" s="25" t="e">
        <f t="shared" si="9"/>
        <v>#N/A</v>
      </c>
      <c r="W62" s="25" t="e">
        <f t="shared" si="10"/>
        <v>#N/A</v>
      </c>
      <c r="X62" s="29" t="e">
        <f t="shared" si="11"/>
        <v>#N/A</v>
      </c>
    </row>
    <row r="63" spans="2:24" ht="20.25">
      <c r="B63" s="20">
        <v>59</v>
      </c>
      <c r="C63" s="58" t="e">
        <f>_xlfn.XLOOKUP(D:D,'DATA รถถึงเส้นรอง KKN'!A:A,'DATA รถถึงเส้นรอง KKN'!B:B)</f>
        <v>#N/A</v>
      </c>
      <c r="D63" s="32" t="e">
        <f>_xlfn.XLOOKUP(E63,'DATA รถถึงเส้นรอง KKN'!C:C,'DATA รถถึงเส้นรอง KKN'!A:A)</f>
        <v>#N/A</v>
      </c>
      <c r="E63" s="32" cm="1">
        <f t="array" ref="E63">INDEX('DATA รถถึงเส้นรอง KKN'!C:C,ROW()-3)</f>
        <v>0</v>
      </c>
      <c r="F63" s="22" t="e">
        <f>_xlfn.XLOOKUP(E63,'DATA รถถึงเส้นรอง KKN'!C:C,'DATA รถถึงเส้นรอง KKN'!O:O)</f>
        <v>#N/A</v>
      </c>
      <c r="G63" s="22" t="e">
        <f>_xlfn.XLOOKUP(E63,'DATA รถถึงเส้นรอง KKN'!C:C,'DATA รถถึงเส้นรอง KKN'!L:L)</f>
        <v>#N/A</v>
      </c>
      <c r="H63" s="22" t="e">
        <f>_xlfn.XLOOKUP(E63,#REF!,#REF!)</f>
        <v>#REF!</v>
      </c>
      <c r="I63" s="22" t="e">
        <f>_xlfn.XLOOKUP(E63,#REF!,#REF!)</f>
        <v>#REF!</v>
      </c>
      <c r="J63" s="23" t="e">
        <f>_xlfn.XLOOKUP(E63,'DATA รถถึงเส้นรอง KKN'!C:C,'DATA รถถึงเส้นรอง KKN'!AP:AP)</f>
        <v>#N/A</v>
      </c>
      <c r="K63" s="24" t="e">
        <f>_xlfn.XLOOKUP(E63,'DATA รถถึงเส้นรอง KKN'!C:C,'DATA รถถึงเส้นรอง KKN'!AV:AV)</f>
        <v>#N/A</v>
      </c>
      <c r="L63" s="25" t="e">
        <f t="shared" si="7"/>
        <v>#N/A</v>
      </c>
      <c r="M63" s="24" t="e">
        <f>_xlfn.XLOOKUP(E63,'DATA รถถึงเส้นรอง KKN'!C:C,'DATA รถถึงเส้นรอง KKN'!AW:AW)</f>
        <v>#N/A</v>
      </c>
      <c r="N63" s="24" t="e">
        <f>_xlfn.XLOOKUP(E63,'DATA รถถึงเส้นรอง KKN'!C:C,'DATA รถถึงเส้นรอง KKN'!AY:AY)</f>
        <v>#N/A</v>
      </c>
      <c r="O63" s="26" t="e">
        <f t="shared" si="8"/>
        <v>#N/A</v>
      </c>
      <c r="P63" s="24" t="e">
        <f>_xlfn.XLOOKUP(E63,'DATA รถถึงเส้นรอง KKN'!C:C,'DATA รถถึงเส้นรอง KKN'!AZ:AZ)</f>
        <v>#N/A</v>
      </c>
      <c r="Q63" s="60" t="str">
        <f t="shared" si="0"/>
        <v/>
      </c>
      <c r="R63" s="27"/>
      <c r="S63" s="28"/>
      <c r="T63" s="59" t="e">
        <f t="shared" si="1"/>
        <v>#N/A</v>
      </c>
      <c r="V63" s="25" t="e">
        <f t="shared" si="9"/>
        <v>#N/A</v>
      </c>
      <c r="W63" s="25" t="e">
        <f t="shared" si="10"/>
        <v>#N/A</v>
      </c>
      <c r="X63" s="29" t="e">
        <f t="shared" si="11"/>
        <v>#N/A</v>
      </c>
    </row>
    <row r="64" spans="2:24" ht="20.25">
      <c r="B64" s="20">
        <v>60</v>
      </c>
      <c r="C64" s="58" t="e">
        <f>_xlfn.XLOOKUP(D:D,'DATA รถถึงเส้นรอง KKN'!A:A,'DATA รถถึงเส้นรอง KKN'!B:B)</f>
        <v>#N/A</v>
      </c>
      <c r="D64" s="32" t="e">
        <f>_xlfn.XLOOKUP(E64,'DATA รถถึงเส้นรอง KKN'!C:C,'DATA รถถึงเส้นรอง KKN'!A:A)</f>
        <v>#N/A</v>
      </c>
      <c r="E64" s="32" cm="1">
        <f t="array" ref="E64">INDEX('DATA รถถึงเส้นรอง KKN'!C:C,ROW()-3)</f>
        <v>0</v>
      </c>
      <c r="F64" s="22" t="e">
        <f>_xlfn.XLOOKUP(E64,'DATA รถถึงเส้นรอง KKN'!C:C,'DATA รถถึงเส้นรอง KKN'!O:O)</f>
        <v>#N/A</v>
      </c>
      <c r="G64" s="22" t="e">
        <f>_xlfn.XLOOKUP(E64,'DATA รถถึงเส้นรอง KKN'!C:C,'DATA รถถึงเส้นรอง KKN'!L:L)</f>
        <v>#N/A</v>
      </c>
      <c r="H64" s="22" t="e">
        <f>_xlfn.XLOOKUP(E64,#REF!,#REF!)</f>
        <v>#REF!</v>
      </c>
      <c r="I64" s="22" t="e">
        <f>_xlfn.XLOOKUP(E64,#REF!,#REF!)</f>
        <v>#REF!</v>
      </c>
      <c r="J64" s="23" t="e">
        <f>_xlfn.XLOOKUP(E64,'DATA รถถึงเส้นรอง KKN'!C:C,'DATA รถถึงเส้นรอง KKN'!AP:AP)</f>
        <v>#N/A</v>
      </c>
      <c r="K64" s="24" t="e">
        <f>_xlfn.XLOOKUP(E64,'DATA รถถึงเส้นรอง KKN'!C:C,'DATA รถถึงเส้นรอง KKN'!AV:AV)</f>
        <v>#N/A</v>
      </c>
      <c r="L64" s="25" t="e">
        <f t="shared" si="7"/>
        <v>#N/A</v>
      </c>
      <c r="M64" s="24" t="e">
        <f>_xlfn.XLOOKUP(E64,'DATA รถถึงเส้นรอง KKN'!C:C,'DATA รถถึงเส้นรอง KKN'!AW:AW)</f>
        <v>#N/A</v>
      </c>
      <c r="N64" s="24" t="e">
        <f>_xlfn.XLOOKUP(E64,'DATA รถถึงเส้นรอง KKN'!C:C,'DATA รถถึงเส้นรอง KKN'!AY:AY)</f>
        <v>#N/A</v>
      </c>
      <c r="O64" s="26" t="e">
        <f t="shared" si="8"/>
        <v>#N/A</v>
      </c>
      <c r="P64" s="24" t="e">
        <f>_xlfn.XLOOKUP(E64,'DATA รถถึงเส้นรอง KKN'!C:C,'DATA รถถึงเส้นรอง KKN'!AZ:AZ)</f>
        <v>#N/A</v>
      </c>
      <c r="Q64" s="60" t="str">
        <f t="shared" si="0"/>
        <v/>
      </c>
      <c r="R64" s="27"/>
      <c r="S64" s="28"/>
      <c r="T64" s="59" t="e">
        <f t="shared" si="1"/>
        <v>#N/A</v>
      </c>
      <c r="V64" s="25" t="e">
        <f t="shared" si="9"/>
        <v>#N/A</v>
      </c>
      <c r="W64" s="25" t="e">
        <f t="shared" si="10"/>
        <v>#N/A</v>
      </c>
      <c r="X64" s="29" t="e">
        <f t="shared" si="11"/>
        <v>#N/A</v>
      </c>
    </row>
    <row r="65" spans="2:24" ht="20.25">
      <c r="B65" s="20">
        <v>61</v>
      </c>
      <c r="C65" s="58" t="e">
        <f>_xlfn.XLOOKUP(D:D,'DATA รถถึงเส้นรอง KKN'!A:A,'DATA รถถึงเส้นรอง KKN'!B:B)</f>
        <v>#N/A</v>
      </c>
      <c r="D65" s="32" t="e">
        <f>_xlfn.XLOOKUP(E65,'DATA รถถึงเส้นรอง KKN'!C:C,'DATA รถถึงเส้นรอง KKN'!A:A)</f>
        <v>#N/A</v>
      </c>
      <c r="E65" s="32" cm="1">
        <f t="array" ref="E65">INDEX('DATA รถถึงเส้นรอง KKN'!C:C,ROW()-3)</f>
        <v>0</v>
      </c>
      <c r="F65" s="22" t="e">
        <f>_xlfn.XLOOKUP(E65,'DATA รถถึงเส้นรอง KKN'!C:C,'DATA รถถึงเส้นรอง KKN'!O:O)</f>
        <v>#N/A</v>
      </c>
      <c r="G65" s="22" t="e">
        <f>_xlfn.XLOOKUP(E65,'DATA รถถึงเส้นรอง KKN'!C:C,'DATA รถถึงเส้นรอง KKN'!L:L)</f>
        <v>#N/A</v>
      </c>
      <c r="H65" s="22" t="e">
        <f>_xlfn.XLOOKUP(E65,#REF!,#REF!)</f>
        <v>#REF!</v>
      </c>
      <c r="I65" s="22" t="e">
        <f>_xlfn.XLOOKUP(E65,#REF!,#REF!)</f>
        <v>#REF!</v>
      </c>
      <c r="J65" s="23" t="e">
        <f>_xlfn.XLOOKUP(E65,'DATA รถถึงเส้นรอง KKN'!C:C,'DATA รถถึงเส้นรอง KKN'!AP:AP)</f>
        <v>#N/A</v>
      </c>
      <c r="K65" s="24" t="e">
        <f>_xlfn.XLOOKUP(E65,'DATA รถถึงเส้นรอง KKN'!C:C,'DATA รถถึงเส้นรอง KKN'!AV:AV)</f>
        <v>#N/A</v>
      </c>
      <c r="L65" s="25" t="e">
        <f t="shared" ref="L65:L82" si="12">M65+TIME(2,0,0)</f>
        <v>#N/A</v>
      </c>
      <c r="M65" s="24" t="e">
        <f>_xlfn.XLOOKUP(E65,'DATA รถถึงเส้นรอง KKN'!C:C,'DATA รถถึงเส้นรอง KKN'!AW:AW)</f>
        <v>#N/A</v>
      </c>
      <c r="N65" s="24" t="e">
        <f>_xlfn.XLOOKUP(E65,'DATA รถถึงเส้นรอง KKN'!C:C,'DATA รถถึงเส้นรอง KKN'!AY:AY)</f>
        <v>#N/A</v>
      </c>
      <c r="O65" s="26" t="e">
        <f t="shared" ref="O65:O83" si="13">IF(OR(N65=0,L65=0,N65="",L65=""),"ข้อมูลไม่ครบ",IF(TEXT(N65,"hh:mm:ss")&gt;TEXT(L65,"hh:mm:ss"),"เกินเวลาลงพัสดุ","อยู่ในเวลาที่ควรลง"))</f>
        <v>#N/A</v>
      </c>
      <c r="P65" s="24" t="e">
        <f>_xlfn.XLOOKUP(E65,'DATA รถถึงเส้นรอง KKN'!C:C,'DATA รถถึงเส้นรอง KKN'!AZ:AZ)</f>
        <v>#N/A</v>
      </c>
      <c r="Q65" s="60" t="str">
        <f t="shared" si="0"/>
        <v/>
      </c>
      <c r="R65" s="27"/>
      <c r="S65" s="28"/>
      <c r="T65" s="59" t="e">
        <f t="shared" si="1"/>
        <v>#N/A</v>
      </c>
      <c r="V65" s="25" t="e">
        <f t="shared" si="9"/>
        <v>#N/A</v>
      </c>
      <c r="W65" s="25" t="e">
        <f t="shared" si="10"/>
        <v>#N/A</v>
      </c>
      <c r="X65" s="29" t="e">
        <f t="shared" si="11"/>
        <v>#N/A</v>
      </c>
    </row>
    <row r="66" spans="2:24" ht="20.25">
      <c r="B66" s="20">
        <v>62</v>
      </c>
      <c r="C66" s="58" t="e">
        <f>_xlfn.XLOOKUP(D:D,'DATA รถถึงเส้นรอง KKN'!A:A,'DATA รถถึงเส้นรอง KKN'!B:B)</f>
        <v>#N/A</v>
      </c>
      <c r="D66" s="32" t="e">
        <f>_xlfn.XLOOKUP(E66,'DATA รถถึงเส้นรอง KKN'!C:C,'DATA รถถึงเส้นรอง KKN'!A:A)</f>
        <v>#N/A</v>
      </c>
      <c r="E66" s="32" cm="1">
        <f t="array" ref="E66">INDEX('DATA รถถึงเส้นรอง KKN'!C:C,ROW()-3)</f>
        <v>0</v>
      </c>
      <c r="F66" s="22" t="e">
        <f>_xlfn.XLOOKUP(E66,'DATA รถถึงเส้นรอง KKN'!C:C,'DATA รถถึงเส้นรอง KKN'!O:O)</f>
        <v>#N/A</v>
      </c>
      <c r="G66" s="22" t="e">
        <f>_xlfn.XLOOKUP(E66,'DATA รถถึงเส้นรอง KKN'!C:C,'DATA รถถึงเส้นรอง KKN'!L:L)</f>
        <v>#N/A</v>
      </c>
      <c r="H66" s="22" t="e">
        <f>_xlfn.XLOOKUP(E66,#REF!,#REF!)</f>
        <v>#REF!</v>
      </c>
      <c r="I66" s="22" t="e">
        <f>_xlfn.XLOOKUP(E66,#REF!,#REF!)</f>
        <v>#REF!</v>
      </c>
      <c r="J66" s="23" t="e">
        <f>_xlfn.XLOOKUP(E66,'DATA รถถึงเส้นรอง KKN'!C:C,'DATA รถถึงเส้นรอง KKN'!AP:AP)</f>
        <v>#N/A</v>
      </c>
      <c r="K66" s="24" t="e">
        <f>_xlfn.XLOOKUP(E66,'DATA รถถึงเส้นรอง KKN'!C:C,'DATA รถถึงเส้นรอง KKN'!AV:AV)</f>
        <v>#N/A</v>
      </c>
      <c r="L66" s="25" t="e">
        <f t="shared" si="12"/>
        <v>#N/A</v>
      </c>
      <c r="M66" s="24" t="e">
        <f>_xlfn.XLOOKUP(E66,'DATA รถถึงเส้นรอง KKN'!C:C,'DATA รถถึงเส้นรอง KKN'!AW:AW)</f>
        <v>#N/A</v>
      </c>
      <c r="N66" s="24" t="e">
        <f>_xlfn.XLOOKUP(E66,'DATA รถถึงเส้นรอง KKN'!C:C,'DATA รถถึงเส้นรอง KKN'!AY:AY)</f>
        <v>#N/A</v>
      </c>
      <c r="O66" s="26" t="e">
        <f t="shared" si="13"/>
        <v>#N/A</v>
      </c>
      <c r="P66" s="24" t="e">
        <f>_xlfn.XLOOKUP(E66,'DATA รถถึงเส้นรอง KKN'!C:C,'DATA รถถึงเส้นรอง KKN'!AZ:AZ)</f>
        <v>#N/A</v>
      </c>
      <c r="Q66" s="60" t="str">
        <f t="shared" si="0"/>
        <v/>
      </c>
      <c r="R66" s="27"/>
      <c r="S66" s="28"/>
      <c r="T66" s="59" t="e">
        <f t="shared" si="1"/>
        <v>#N/A</v>
      </c>
      <c r="V66" s="25" t="e">
        <f t="shared" si="9"/>
        <v>#N/A</v>
      </c>
      <c r="W66" s="25" t="e">
        <f t="shared" si="10"/>
        <v>#N/A</v>
      </c>
      <c r="X66" s="29" t="e">
        <f t="shared" si="11"/>
        <v>#N/A</v>
      </c>
    </row>
    <row r="67" spans="2:24" ht="20.25">
      <c r="B67" s="20">
        <v>63</v>
      </c>
      <c r="C67" s="58" t="e">
        <f>_xlfn.XLOOKUP(D:D,'DATA รถถึงเส้นรอง KKN'!A:A,'DATA รถถึงเส้นรอง KKN'!B:B)</f>
        <v>#N/A</v>
      </c>
      <c r="D67" s="32" t="e">
        <f>_xlfn.XLOOKUP(E67,'DATA รถถึงเส้นรอง KKN'!C:C,'DATA รถถึงเส้นรอง KKN'!A:A)</f>
        <v>#N/A</v>
      </c>
      <c r="E67" s="32" cm="1">
        <f t="array" ref="E67">INDEX('DATA รถถึงเส้นรอง KKN'!C:C,ROW()-3)</f>
        <v>0</v>
      </c>
      <c r="F67" s="22" t="e">
        <f>_xlfn.XLOOKUP(E67,'DATA รถถึงเส้นรอง KKN'!C:C,'DATA รถถึงเส้นรอง KKN'!O:O)</f>
        <v>#N/A</v>
      </c>
      <c r="G67" s="22" t="e">
        <f>_xlfn.XLOOKUP(E67,'DATA รถถึงเส้นรอง KKN'!C:C,'DATA รถถึงเส้นรอง KKN'!L:L)</f>
        <v>#N/A</v>
      </c>
      <c r="H67" s="22" t="e">
        <f>_xlfn.XLOOKUP(E67,#REF!,#REF!)</f>
        <v>#REF!</v>
      </c>
      <c r="I67" s="22" t="e">
        <f>_xlfn.XLOOKUP(E67,#REF!,#REF!)</f>
        <v>#REF!</v>
      </c>
      <c r="J67" s="23" t="e">
        <f>_xlfn.XLOOKUP(E67,'DATA รถถึงเส้นรอง KKN'!C:C,'DATA รถถึงเส้นรอง KKN'!AP:AP)</f>
        <v>#N/A</v>
      </c>
      <c r="K67" s="24" t="e">
        <f>_xlfn.XLOOKUP(E67,'DATA รถถึงเส้นรอง KKN'!C:C,'DATA รถถึงเส้นรอง KKN'!AV:AV)</f>
        <v>#N/A</v>
      </c>
      <c r="L67" s="25" t="e">
        <f t="shared" si="12"/>
        <v>#N/A</v>
      </c>
      <c r="M67" s="24" t="e">
        <f>_xlfn.XLOOKUP(E67,'DATA รถถึงเส้นรอง KKN'!C:C,'DATA รถถึงเส้นรอง KKN'!AW:AW)</f>
        <v>#N/A</v>
      </c>
      <c r="N67" s="24" t="e">
        <f>_xlfn.XLOOKUP(E67,'DATA รถถึงเส้นรอง KKN'!C:C,'DATA รถถึงเส้นรอง KKN'!AY:AY)</f>
        <v>#N/A</v>
      </c>
      <c r="O67" s="26" t="e">
        <f t="shared" si="13"/>
        <v>#N/A</v>
      </c>
      <c r="P67" s="24" t="e">
        <f>_xlfn.XLOOKUP(E67,'DATA รถถึงเส้นรอง KKN'!C:C,'DATA รถถึงเส้นรอง KKN'!AZ:AZ)</f>
        <v>#N/A</v>
      </c>
      <c r="Q67" s="60" t="str">
        <f t="shared" si="0"/>
        <v/>
      </c>
      <c r="R67" s="27"/>
      <c r="S67" s="28"/>
      <c r="T67" s="59" t="e">
        <f t="shared" si="1"/>
        <v>#N/A</v>
      </c>
      <c r="V67" s="25" t="e">
        <f t="shared" si="9"/>
        <v>#N/A</v>
      </c>
      <c r="W67" s="25" t="e">
        <f t="shared" si="10"/>
        <v>#N/A</v>
      </c>
      <c r="X67" s="29" t="e">
        <f t="shared" si="11"/>
        <v>#N/A</v>
      </c>
    </row>
    <row r="68" spans="2:24" ht="20.25">
      <c r="B68" s="20">
        <v>64</v>
      </c>
      <c r="C68" s="58" t="e">
        <f>_xlfn.XLOOKUP(D:D,'DATA รถถึงเส้นรอง KKN'!A:A,'DATA รถถึงเส้นรอง KKN'!B:B)</f>
        <v>#N/A</v>
      </c>
      <c r="D68" s="32" t="e">
        <f>_xlfn.XLOOKUP(E68,'DATA รถถึงเส้นรอง KKN'!C:C,'DATA รถถึงเส้นรอง KKN'!A:A)</f>
        <v>#N/A</v>
      </c>
      <c r="E68" s="32" cm="1">
        <f t="array" ref="E68">INDEX('DATA รถถึงเส้นรอง KKN'!C:C,ROW()-3)</f>
        <v>0</v>
      </c>
      <c r="F68" s="22" t="e">
        <f>_xlfn.XLOOKUP(E68,'DATA รถถึงเส้นรอง KKN'!C:C,'DATA รถถึงเส้นรอง KKN'!O:O)</f>
        <v>#N/A</v>
      </c>
      <c r="G68" s="22" t="e">
        <f>_xlfn.XLOOKUP(E68,'DATA รถถึงเส้นรอง KKN'!C:C,'DATA รถถึงเส้นรอง KKN'!L:L)</f>
        <v>#N/A</v>
      </c>
      <c r="H68" s="22" t="e">
        <f>_xlfn.XLOOKUP(E68,#REF!,#REF!)</f>
        <v>#REF!</v>
      </c>
      <c r="I68" s="22" t="e">
        <f>_xlfn.XLOOKUP(E68,#REF!,#REF!)</f>
        <v>#REF!</v>
      </c>
      <c r="J68" s="23" t="e">
        <f>_xlfn.XLOOKUP(E68,'DATA รถถึงเส้นรอง KKN'!C:C,'DATA รถถึงเส้นรอง KKN'!AP:AP)</f>
        <v>#N/A</v>
      </c>
      <c r="K68" s="24" t="e">
        <f>_xlfn.XLOOKUP(E68,'DATA รถถึงเส้นรอง KKN'!C:C,'DATA รถถึงเส้นรอง KKN'!AV:AV)</f>
        <v>#N/A</v>
      </c>
      <c r="L68" s="25" t="e">
        <f t="shared" si="12"/>
        <v>#N/A</v>
      </c>
      <c r="M68" s="24" t="e">
        <f>_xlfn.XLOOKUP(E68,'DATA รถถึงเส้นรอง KKN'!C:C,'DATA รถถึงเส้นรอง KKN'!AW:AW)</f>
        <v>#N/A</v>
      </c>
      <c r="N68" s="24" t="e">
        <f>_xlfn.XLOOKUP(E68,'DATA รถถึงเส้นรอง KKN'!C:C,'DATA รถถึงเส้นรอง KKN'!AY:AY)</f>
        <v>#N/A</v>
      </c>
      <c r="O68" s="26" t="e">
        <f t="shared" si="13"/>
        <v>#N/A</v>
      </c>
      <c r="P68" s="24" t="e">
        <f>_xlfn.XLOOKUP(E68,'DATA รถถึงเส้นรอง KKN'!C:C,'DATA รถถึงเส้นรอง KKN'!AZ:AZ)</f>
        <v>#N/A</v>
      </c>
      <c r="Q68" s="60" t="str">
        <f t="shared" si="0"/>
        <v/>
      </c>
      <c r="R68" s="27"/>
      <c r="S68" s="28"/>
      <c r="T68" s="59" t="e">
        <f t="shared" si="1"/>
        <v>#N/A</v>
      </c>
      <c r="V68" s="25" t="e">
        <f t="shared" si="9"/>
        <v>#N/A</v>
      </c>
      <c r="W68" s="25" t="e">
        <f t="shared" si="10"/>
        <v>#N/A</v>
      </c>
      <c r="X68" s="29" t="e">
        <f t="shared" si="11"/>
        <v>#N/A</v>
      </c>
    </row>
    <row r="69" spans="2:24" s="3" customFormat="1" ht="20.25">
      <c r="B69" s="31">
        <v>65</v>
      </c>
      <c r="C69" s="58" t="e">
        <f>_xlfn.XLOOKUP(D:D,'DATA รถถึงเส้นรอง KKN'!A:A,'DATA รถถึงเส้นรอง KKN'!B:B)</f>
        <v>#N/A</v>
      </c>
      <c r="D69" s="32" t="e">
        <f>_xlfn.XLOOKUP(E69,'DATA รถถึงเส้นรอง KKN'!C:C,'DATA รถถึงเส้นรอง KKN'!A:A)</f>
        <v>#N/A</v>
      </c>
      <c r="E69" s="32" cm="1">
        <f t="array" ref="E69">INDEX('DATA รถถึงเส้นรอง KKN'!C:C,ROW()-3)</f>
        <v>0</v>
      </c>
      <c r="F69" s="22" t="e">
        <f>_xlfn.XLOOKUP(E69,'DATA รถถึงเส้นรอง KKN'!C:C,'DATA รถถึงเส้นรอง KKN'!O:O)</f>
        <v>#N/A</v>
      </c>
      <c r="G69" s="22" t="e">
        <f>_xlfn.XLOOKUP(E69,'DATA รถถึงเส้นรอง KKN'!C:C,'DATA รถถึงเส้นรอง KKN'!L:L)</f>
        <v>#N/A</v>
      </c>
      <c r="H69" s="22" t="e">
        <f>_xlfn.XLOOKUP(E69,#REF!,#REF!)</f>
        <v>#REF!</v>
      </c>
      <c r="I69" s="22" t="e">
        <f>_xlfn.XLOOKUP(E69,#REF!,#REF!)</f>
        <v>#REF!</v>
      </c>
      <c r="J69" s="23" t="e">
        <f>_xlfn.XLOOKUP(E69,'DATA รถถึงเส้นรอง KKN'!C:C,'DATA รถถึงเส้นรอง KKN'!AP:AP)</f>
        <v>#N/A</v>
      </c>
      <c r="K69" s="24" t="e">
        <f>_xlfn.XLOOKUP(E69,'DATA รถถึงเส้นรอง KKN'!C:C,'DATA รถถึงเส้นรอง KKN'!AV:AV)</f>
        <v>#N/A</v>
      </c>
      <c r="L69" s="25" t="e">
        <f t="shared" si="12"/>
        <v>#N/A</v>
      </c>
      <c r="M69" s="24" t="e">
        <f>_xlfn.XLOOKUP(E69,'DATA รถถึงเส้นรอง KKN'!C:C,'DATA รถถึงเส้นรอง KKN'!AW:AW)</f>
        <v>#N/A</v>
      </c>
      <c r="N69" s="24" t="e">
        <f>_xlfn.XLOOKUP(E69,'DATA รถถึงเส้นรอง KKN'!C:C,'DATA รถถึงเส้นรอง KKN'!AY:AY)</f>
        <v>#N/A</v>
      </c>
      <c r="O69" s="26" t="e">
        <f t="shared" si="13"/>
        <v>#N/A</v>
      </c>
      <c r="P69" s="24" t="e">
        <f>_xlfn.XLOOKUP(E69,'DATA รถถึงเส้นรอง KKN'!C:C,'DATA รถถึงเส้นรอง KKN'!AZ:AZ)</f>
        <v>#N/A</v>
      </c>
      <c r="Q69" s="60" t="str">
        <f t="shared" si="0"/>
        <v/>
      </c>
      <c r="R69" s="27"/>
      <c r="S69" s="28"/>
      <c r="T69" s="59" t="e">
        <f t="shared" si="1"/>
        <v>#N/A</v>
      </c>
      <c r="V69" s="25" t="e">
        <f t="shared" si="9"/>
        <v>#N/A</v>
      </c>
      <c r="W69" s="25" t="e">
        <f t="shared" si="10"/>
        <v>#N/A</v>
      </c>
      <c r="X69" s="29" t="e">
        <f t="shared" si="11"/>
        <v>#N/A</v>
      </c>
    </row>
    <row r="70" spans="2:24" ht="20.25">
      <c r="B70" s="20">
        <v>66</v>
      </c>
      <c r="C70" s="58" t="e">
        <f>_xlfn.XLOOKUP(D:D,'DATA รถถึงเส้นรอง KKN'!A:A,'DATA รถถึงเส้นรอง KKN'!B:B)</f>
        <v>#N/A</v>
      </c>
      <c r="D70" s="32" t="e">
        <f>_xlfn.XLOOKUP(E70,'DATA รถถึงเส้นรอง KKN'!C:C,'DATA รถถึงเส้นรอง KKN'!A:A)</f>
        <v>#N/A</v>
      </c>
      <c r="E70" s="32" cm="1">
        <f t="array" ref="E70">INDEX('DATA รถถึงเส้นรอง KKN'!C:C,ROW()-3)</f>
        <v>0</v>
      </c>
      <c r="F70" s="22" t="e">
        <f>_xlfn.XLOOKUP(E70,'DATA รถถึงเส้นรอง KKN'!C:C,'DATA รถถึงเส้นรอง KKN'!O:O)</f>
        <v>#N/A</v>
      </c>
      <c r="G70" s="22" t="e">
        <f>_xlfn.XLOOKUP(E70,'DATA รถถึงเส้นรอง KKN'!C:C,'DATA รถถึงเส้นรอง KKN'!L:L)</f>
        <v>#N/A</v>
      </c>
      <c r="H70" s="22" t="e">
        <f>_xlfn.XLOOKUP(E70,#REF!,#REF!)</f>
        <v>#REF!</v>
      </c>
      <c r="I70" s="22" t="e">
        <f>_xlfn.XLOOKUP(E70,#REF!,#REF!)</f>
        <v>#REF!</v>
      </c>
      <c r="J70" s="23" t="e">
        <f>_xlfn.XLOOKUP(E70,'DATA รถถึงเส้นรอง KKN'!C:C,'DATA รถถึงเส้นรอง KKN'!AP:AP)</f>
        <v>#N/A</v>
      </c>
      <c r="K70" s="24" t="e">
        <f>_xlfn.XLOOKUP(E70,'DATA รถถึงเส้นรอง KKN'!C:C,'DATA รถถึงเส้นรอง KKN'!AV:AV)</f>
        <v>#N/A</v>
      </c>
      <c r="L70" s="25" t="e">
        <f t="shared" si="12"/>
        <v>#N/A</v>
      </c>
      <c r="M70" s="24" t="e">
        <f>_xlfn.XLOOKUP(E70,'DATA รถถึงเส้นรอง KKN'!C:C,'DATA รถถึงเส้นรอง KKN'!AW:AW)</f>
        <v>#N/A</v>
      </c>
      <c r="N70" s="24" t="e">
        <f>_xlfn.XLOOKUP(E70,'DATA รถถึงเส้นรอง KKN'!C:C,'DATA รถถึงเส้นรอง KKN'!AY:AY)</f>
        <v>#N/A</v>
      </c>
      <c r="O70" s="26" t="e">
        <f t="shared" si="13"/>
        <v>#N/A</v>
      </c>
      <c r="P70" s="24" t="e">
        <f>_xlfn.XLOOKUP(E70,'DATA รถถึงเส้นรอง KKN'!C:C,'DATA รถถึงเส้นรอง KKN'!AZ:AZ)</f>
        <v>#N/A</v>
      </c>
      <c r="Q70" s="60" t="str">
        <f t="shared" ref="Q70:Q133" si="14">IFERROR(IF(AND(P70&lt;&gt;"",P70&lt;&gt;0),"卸完货 ลงพัสดุเสร็จ",IF(AND(N70&lt;&gt;"",N70&lt;&gt;0),"正在卸货 กำลังลงพัสดุ",IF(AND(M70&lt;&gt;"",M70&lt;&gt;0),"等待卸货 รอลงพัสดุ",IF(OR(AND(J70&lt;&gt;"",J70&lt;&gt;0),AND(K70&lt;&gt;"",K70&lt;&gt;0)),"在途 รถยังไม่ถึง","")))),"")</f>
        <v/>
      </c>
      <c r="R70" s="27"/>
      <c r="S70" s="28"/>
      <c r="T70" s="59" t="e">
        <f t="shared" ref="T70:T133" si="15">INT((V70-W70)*1440)</f>
        <v>#N/A</v>
      </c>
      <c r="V70" s="25" t="e">
        <f t="shared" si="9"/>
        <v>#N/A</v>
      </c>
      <c r="W70" s="25" t="e">
        <f t="shared" si="10"/>
        <v>#N/A</v>
      </c>
      <c r="X70" s="29" t="e">
        <f t="shared" si="11"/>
        <v>#N/A</v>
      </c>
    </row>
    <row r="71" spans="2:24" ht="20.25">
      <c r="B71" s="20">
        <v>67</v>
      </c>
      <c r="C71" s="58" t="e">
        <f>_xlfn.XLOOKUP(D:D,'DATA รถถึงเส้นรอง KKN'!A:A,'DATA รถถึงเส้นรอง KKN'!B:B)</f>
        <v>#N/A</v>
      </c>
      <c r="D71" s="32" t="e">
        <f>_xlfn.XLOOKUP(E71,'DATA รถถึงเส้นรอง KKN'!C:C,'DATA รถถึงเส้นรอง KKN'!A:A)</f>
        <v>#N/A</v>
      </c>
      <c r="E71" s="32" cm="1">
        <f t="array" ref="E71">INDEX('DATA รถถึงเส้นรอง KKN'!C:C,ROW()-3)</f>
        <v>0</v>
      </c>
      <c r="F71" s="22" t="e">
        <f>_xlfn.XLOOKUP(E71,'DATA รถถึงเส้นรอง KKN'!C:C,'DATA รถถึงเส้นรอง KKN'!O:O)</f>
        <v>#N/A</v>
      </c>
      <c r="G71" s="22" t="e">
        <f>_xlfn.XLOOKUP(E71,'DATA รถถึงเส้นรอง KKN'!C:C,'DATA รถถึงเส้นรอง KKN'!L:L)</f>
        <v>#N/A</v>
      </c>
      <c r="H71" s="22" t="e">
        <f>_xlfn.XLOOKUP(E71,#REF!,#REF!)</f>
        <v>#REF!</v>
      </c>
      <c r="I71" s="22" t="e">
        <f>_xlfn.XLOOKUP(E71,#REF!,#REF!)</f>
        <v>#REF!</v>
      </c>
      <c r="J71" s="23" t="e">
        <f>_xlfn.XLOOKUP(E71,'DATA รถถึงเส้นรอง KKN'!C:C,'DATA รถถึงเส้นรอง KKN'!AP:AP)</f>
        <v>#N/A</v>
      </c>
      <c r="K71" s="24" t="e">
        <f>_xlfn.XLOOKUP(E71,'DATA รถถึงเส้นรอง KKN'!C:C,'DATA รถถึงเส้นรอง KKN'!AV:AV)</f>
        <v>#N/A</v>
      </c>
      <c r="L71" s="25" t="e">
        <f t="shared" si="12"/>
        <v>#N/A</v>
      </c>
      <c r="M71" s="24" t="e">
        <f>_xlfn.XLOOKUP(E71,'DATA รถถึงเส้นรอง KKN'!C:C,'DATA รถถึงเส้นรอง KKN'!AW:AW)</f>
        <v>#N/A</v>
      </c>
      <c r="N71" s="24" t="e">
        <f>_xlfn.XLOOKUP(E71,'DATA รถถึงเส้นรอง KKN'!C:C,'DATA รถถึงเส้นรอง KKN'!AY:AY)</f>
        <v>#N/A</v>
      </c>
      <c r="O71" s="26" t="e">
        <f t="shared" si="13"/>
        <v>#N/A</v>
      </c>
      <c r="P71" s="24" t="e">
        <f>_xlfn.XLOOKUP(E71,'DATA รถถึงเส้นรอง KKN'!C:C,'DATA รถถึงเส้นรอง KKN'!AZ:AZ)</f>
        <v>#N/A</v>
      </c>
      <c r="Q71" s="60" t="str">
        <f t="shared" si="14"/>
        <v/>
      </c>
      <c r="R71" s="27"/>
      <c r="S71" s="28"/>
      <c r="T71" s="59" t="e">
        <f t="shared" si="15"/>
        <v>#N/A</v>
      </c>
      <c r="V71" s="25" t="e">
        <f t="shared" si="9"/>
        <v>#N/A</v>
      </c>
      <c r="W71" s="25" t="e">
        <f t="shared" si="10"/>
        <v>#N/A</v>
      </c>
      <c r="X71" s="29" t="e">
        <f t="shared" si="11"/>
        <v>#N/A</v>
      </c>
    </row>
    <row r="72" spans="2:24" ht="20.25">
      <c r="B72" s="20">
        <v>68</v>
      </c>
      <c r="C72" s="58" t="e">
        <f>_xlfn.XLOOKUP(D:D,'DATA รถถึงเส้นรอง KKN'!A:A,'DATA รถถึงเส้นรอง KKN'!B:B)</f>
        <v>#N/A</v>
      </c>
      <c r="D72" s="32" t="e">
        <f>_xlfn.XLOOKUP(E72,'DATA รถถึงเส้นรอง KKN'!C:C,'DATA รถถึงเส้นรอง KKN'!A:A)</f>
        <v>#N/A</v>
      </c>
      <c r="E72" s="32" cm="1">
        <f t="array" ref="E72">INDEX('DATA รถถึงเส้นรอง KKN'!C:C,ROW()-3)</f>
        <v>0</v>
      </c>
      <c r="F72" s="22" t="e">
        <f>_xlfn.XLOOKUP(E72,'DATA รถถึงเส้นรอง KKN'!C:C,'DATA รถถึงเส้นรอง KKN'!O:O)</f>
        <v>#N/A</v>
      </c>
      <c r="G72" s="22" t="e">
        <f>_xlfn.XLOOKUP(E72,'DATA รถถึงเส้นรอง KKN'!C:C,'DATA รถถึงเส้นรอง KKN'!L:L)</f>
        <v>#N/A</v>
      </c>
      <c r="H72" s="22" t="e">
        <f>_xlfn.XLOOKUP(E72,#REF!,#REF!)</f>
        <v>#REF!</v>
      </c>
      <c r="I72" s="22" t="e">
        <f>_xlfn.XLOOKUP(E72,#REF!,#REF!)</f>
        <v>#REF!</v>
      </c>
      <c r="J72" s="23" t="e">
        <f>_xlfn.XLOOKUP(E72,'DATA รถถึงเส้นรอง KKN'!C:C,'DATA รถถึงเส้นรอง KKN'!AP:AP)</f>
        <v>#N/A</v>
      </c>
      <c r="K72" s="24" t="e">
        <f>_xlfn.XLOOKUP(E72,'DATA รถถึงเส้นรอง KKN'!C:C,'DATA รถถึงเส้นรอง KKN'!AV:AV)</f>
        <v>#N/A</v>
      </c>
      <c r="L72" s="25" t="e">
        <f t="shared" si="12"/>
        <v>#N/A</v>
      </c>
      <c r="M72" s="24" t="e">
        <f>_xlfn.XLOOKUP(E72,'DATA รถถึงเส้นรอง KKN'!C:C,'DATA รถถึงเส้นรอง KKN'!AW:AW)</f>
        <v>#N/A</v>
      </c>
      <c r="N72" s="24" t="e">
        <f>_xlfn.XLOOKUP(E72,'DATA รถถึงเส้นรอง KKN'!C:C,'DATA รถถึงเส้นรอง KKN'!AY:AY)</f>
        <v>#N/A</v>
      </c>
      <c r="O72" s="26" t="e">
        <f t="shared" si="13"/>
        <v>#N/A</v>
      </c>
      <c r="P72" s="24" t="e">
        <f>_xlfn.XLOOKUP(E72,'DATA รถถึงเส้นรอง KKN'!C:C,'DATA รถถึงเส้นรอง KKN'!AZ:AZ)</f>
        <v>#N/A</v>
      </c>
      <c r="Q72" s="60" t="str">
        <f t="shared" si="14"/>
        <v/>
      </c>
      <c r="R72" s="27"/>
      <c r="S72" s="28"/>
      <c r="T72" s="59" t="e">
        <f t="shared" si="15"/>
        <v>#N/A</v>
      </c>
      <c r="V72" s="25" t="e">
        <f t="shared" si="9"/>
        <v>#N/A</v>
      </c>
      <c r="W72" s="25" t="e">
        <f t="shared" si="10"/>
        <v>#N/A</v>
      </c>
      <c r="X72" s="29" t="e">
        <f t="shared" si="11"/>
        <v>#N/A</v>
      </c>
    </row>
    <row r="73" spans="2:24" ht="20.25">
      <c r="B73" s="20">
        <v>69</v>
      </c>
      <c r="C73" s="58" t="e">
        <f>_xlfn.XLOOKUP(D:D,'DATA รถถึงเส้นรอง KKN'!A:A,'DATA รถถึงเส้นรอง KKN'!B:B)</f>
        <v>#N/A</v>
      </c>
      <c r="D73" s="32" t="e">
        <f>_xlfn.XLOOKUP(E73,'DATA รถถึงเส้นรอง KKN'!C:C,'DATA รถถึงเส้นรอง KKN'!A:A)</f>
        <v>#N/A</v>
      </c>
      <c r="E73" s="32" cm="1">
        <f t="array" ref="E73">INDEX('DATA รถถึงเส้นรอง KKN'!C:C,ROW()-3)</f>
        <v>0</v>
      </c>
      <c r="F73" s="22" t="e">
        <f>_xlfn.XLOOKUP(E73,'DATA รถถึงเส้นรอง KKN'!C:C,'DATA รถถึงเส้นรอง KKN'!O:O)</f>
        <v>#N/A</v>
      </c>
      <c r="G73" s="22" t="e">
        <f>_xlfn.XLOOKUP(E73,'DATA รถถึงเส้นรอง KKN'!C:C,'DATA รถถึงเส้นรอง KKN'!L:L)</f>
        <v>#N/A</v>
      </c>
      <c r="H73" s="22" t="e">
        <f>_xlfn.XLOOKUP(E73,#REF!,#REF!)</f>
        <v>#REF!</v>
      </c>
      <c r="I73" s="22" t="e">
        <f>_xlfn.XLOOKUP(E73,#REF!,#REF!)</f>
        <v>#REF!</v>
      </c>
      <c r="J73" s="23" t="e">
        <f>_xlfn.XLOOKUP(E73,'DATA รถถึงเส้นรอง KKN'!C:C,'DATA รถถึงเส้นรอง KKN'!AP:AP)</f>
        <v>#N/A</v>
      </c>
      <c r="K73" s="24" t="e">
        <f>_xlfn.XLOOKUP(E73,'DATA รถถึงเส้นรอง KKN'!C:C,'DATA รถถึงเส้นรอง KKN'!AV:AV)</f>
        <v>#N/A</v>
      </c>
      <c r="L73" s="25" t="e">
        <f t="shared" si="12"/>
        <v>#N/A</v>
      </c>
      <c r="M73" s="24" t="e">
        <f>_xlfn.XLOOKUP(E73,'DATA รถถึงเส้นรอง KKN'!C:C,'DATA รถถึงเส้นรอง KKN'!AW:AW)</f>
        <v>#N/A</v>
      </c>
      <c r="N73" s="24" t="e">
        <f>_xlfn.XLOOKUP(E73,'DATA รถถึงเส้นรอง KKN'!C:C,'DATA รถถึงเส้นรอง KKN'!AY:AY)</f>
        <v>#N/A</v>
      </c>
      <c r="O73" s="26" t="e">
        <f t="shared" si="13"/>
        <v>#N/A</v>
      </c>
      <c r="P73" s="24" t="e">
        <f>_xlfn.XLOOKUP(E73,'DATA รถถึงเส้นรอง KKN'!C:C,'DATA รถถึงเส้นรอง KKN'!AZ:AZ)</f>
        <v>#N/A</v>
      </c>
      <c r="Q73" s="60" t="str">
        <f t="shared" si="14"/>
        <v/>
      </c>
      <c r="R73" s="27"/>
      <c r="S73" s="28"/>
      <c r="T73" s="59" t="e">
        <f t="shared" si="15"/>
        <v>#N/A</v>
      </c>
      <c r="V73" s="25" t="e">
        <f t="shared" si="9"/>
        <v>#N/A</v>
      </c>
      <c r="W73" s="25" t="e">
        <f t="shared" si="10"/>
        <v>#N/A</v>
      </c>
      <c r="X73" s="29" t="e">
        <f t="shared" si="11"/>
        <v>#N/A</v>
      </c>
    </row>
    <row r="74" spans="2:24" s="3" customFormat="1" ht="20.25">
      <c r="B74" s="31">
        <v>70</v>
      </c>
      <c r="C74" s="58" t="e">
        <f>_xlfn.XLOOKUP(D:D,'DATA รถถึงเส้นรอง KKN'!A:A,'DATA รถถึงเส้นรอง KKN'!B:B)</f>
        <v>#N/A</v>
      </c>
      <c r="D74" s="32" t="e">
        <f>_xlfn.XLOOKUP(E74,'DATA รถถึงเส้นรอง KKN'!C:C,'DATA รถถึงเส้นรอง KKN'!A:A)</f>
        <v>#N/A</v>
      </c>
      <c r="E74" s="32" cm="1">
        <f t="array" ref="E74">INDEX('DATA รถถึงเส้นรอง KKN'!C:C,ROW()-3)</f>
        <v>0</v>
      </c>
      <c r="F74" s="22" t="e">
        <f>_xlfn.XLOOKUP(E74,'DATA รถถึงเส้นรอง KKN'!C:C,'DATA รถถึงเส้นรอง KKN'!O:O)</f>
        <v>#N/A</v>
      </c>
      <c r="G74" s="22" t="e">
        <f>_xlfn.XLOOKUP(E74,'DATA รถถึงเส้นรอง KKN'!C:C,'DATA รถถึงเส้นรอง KKN'!L:L)</f>
        <v>#N/A</v>
      </c>
      <c r="H74" s="22" t="e">
        <f>_xlfn.XLOOKUP(E74,#REF!,#REF!)</f>
        <v>#REF!</v>
      </c>
      <c r="I74" s="22" t="e">
        <f>_xlfn.XLOOKUP(E74,#REF!,#REF!)</f>
        <v>#REF!</v>
      </c>
      <c r="J74" s="23" t="e">
        <f>_xlfn.XLOOKUP(E74,'DATA รถถึงเส้นรอง KKN'!C:C,'DATA รถถึงเส้นรอง KKN'!AP:AP)</f>
        <v>#N/A</v>
      </c>
      <c r="K74" s="24" t="e">
        <f>_xlfn.XLOOKUP(E74,'DATA รถถึงเส้นรอง KKN'!C:C,'DATA รถถึงเส้นรอง KKN'!AV:AV)</f>
        <v>#N/A</v>
      </c>
      <c r="L74" s="25" t="e">
        <f t="shared" si="12"/>
        <v>#N/A</v>
      </c>
      <c r="M74" s="24" t="e">
        <f>_xlfn.XLOOKUP(E74,'DATA รถถึงเส้นรอง KKN'!C:C,'DATA รถถึงเส้นรอง KKN'!AW:AW)</f>
        <v>#N/A</v>
      </c>
      <c r="N74" s="24" t="e">
        <f>_xlfn.XLOOKUP(E74,'DATA รถถึงเส้นรอง KKN'!C:C,'DATA รถถึงเส้นรอง KKN'!AY:AY)</f>
        <v>#N/A</v>
      </c>
      <c r="O74" s="26" t="e">
        <f t="shared" si="13"/>
        <v>#N/A</v>
      </c>
      <c r="P74" s="24" t="e">
        <f>_xlfn.XLOOKUP(E74,'DATA รถถึงเส้นรอง KKN'!C:C,'DATA รถถึงเส้นรอง KKN'!AZ:AZ)</f>
        <v>#N/A</v>
      </c>
      <c r="Q74" s="60" t="str">
        <f t="shared" si="14"/>
        <v/>
      </c>
      <c r="R74" s="27"/>
      <c r="S74" s="28"/>
      <c r="T74" s="59" t="e">
        <f t="shared" si="15"/>
        <v>#N/A</v>
      </c>
      <c r="V74" s="25" t="e">
        <f t="shared" si="9"/>
        <v>#N/A</v>
      </c>
      <c r="W74" s="25" t="e">
        <f t="shared" si="10"/>
        <v>#N/A</v>
      </c>
      <c r="X74" s="29" t="e">
        <f t="shared" si="11"/>
        <v>#N/A</v>
      </c>
    </row>
    <row r="75" spans="2:24" ht="20.25">
      <c r="B75" s="20">
        <v>71</v>
      </c>
      <c r="C75" s="58" t="e">
        <f>_xlfn.XLOOKUP(D:D,'DATA รถถึงเส้นรอง KKN'!A:A,'DATA รถถึงเส้นรอง KKN'!B:B)</f>
        <v>#N/A</v>
      </c>
      <c r="D75" s="32" t="e">
        <f>_xlfn.XLOOKUP(E75,'DATA รถถึงเส้นรอง KKN'!C:C,'DATA รถถึงเส้นรอง KKN'!A:A)</f>
        <v>#N/A</v>
      </c>
      <c r="E75" s="32" cm="1">
        <f t="array" ref="E75">INDEX('DATA รถถึงเส้นรอง KKN'!C:C,ROW()-3)</f>
        <v>0</v>
      </c>
      <c r="F75" s="22" t="e">
        <f>_xlfn.XLOOKUP(E75,'DATA รถถึงเส้นรอง KKN'!C:C,'DATA รถถึงเส้นรอง KKN'!O:O)</f>
        <v>#N/A</v>
      </c>
      <c r="G75" s="22" t="e">
        <f>_xlfn.XLOOKUP(E75,'DATA รถถึงเส้นรอง KKN'!C:C,'DATA รถถึงเส้นรอง KKN'!L:L)</f>
        <v>#N/A</v>
      </c>
      <c r="H75" s="22" t="e">
        <f>_xlfn.XLOOKUP(E75,#REF!,#REF!)</f>
        <v>#REF!</v>
      </c>
      <c r="I75" s="22" t="e">
        <f>_xlfn.XLOOKUP(E75,#REF!,#REF!)</f>
        <v>#REF!</v>
      </c>
      <c r="J75" s="23" t="e">
        <f>_xlfn.XLOOKUP(E75,'DATA รถถึงเส้นรอง KKN'!C:C,'DATA รถถึงเส้นรอง KKN'!AP:AP)</f>
        <v>#N/A</v>
      </c>
      <c r="K75" s="24" t="e">
        <f>_xlfn.XLOOKUP(E75,'DATA รถถึงเส้นรอง KKN'!C:C,'DATA รถถึงเส้นรอง KKN'!AV:AV)</f>
        <v>#N/A</v>
      </c>
      <c r="L75" s="25" t="e">
        <f t="shared" si="12"/>
        <v>#N/A</v>
      </c>
      <c r="M75" s="24" t="e">
        <f>_xlfn.XLOOKUP(E75,'DATA รถถึงเส้นรอง KKN'!C:C,'DATA รถถึงเส้นรอง KKN'!AW:AW)</f>
        <v>#N/A</v>
      </c>
      <c r="N75" s="24" t="e">
        <f>_xlfn.XLOOKUP(E75,'DATA รถถึงเส้นรอง KKN'!C:C,'DATA รถถึงเส้นรอง KKN'!AY:AY)</f>
        <v>#N/A</v>
      </c>
      <c r="O75" s="26" t="e">
        <f t="shared" si="13"/>
        <v>#N/A</v>
      </c>
      <c r="P75" s="24" t="e">
        <f>_xlfn.XLOOKUP(E75,'DATA รถถึงเส้นรอง KKN'!C:C,'DATA รถถึงเส้นรอง KKN'!AZ:AZ)</f>
        <v>#N/A</v>
      </c>
      <c r="Q75" s="60" t="str">
        <f t="shared" si="14"/>
        <v/>
      </c>
      <c r="R75" s="27"/>
      <c r="S75" s="28"/>
      <c r="T75" s="59" t="e">
        <f t="shared" si="15"/>
        <v>#N/A</v>
      </c>
      <c r="V75" s="25" t="e">
        <f t="shared" si="9"/>
        <v>#N/A</v>
      </c>
      <c r="W75" s="25" t="e">
        <f t="shared" si="10"/>
        <v>#N/A</v>
      </c>
      <c r="X75" s="29" t="e">
        <f t="shared" si="11"/>
        <v>#N/A</v>
      </c>
    </row>
    <row r="76" spans="2:24" ht="20.25">
      <c r="B76" s="20">
        <v>72</v>
      </c>
      <c r="C76" s="58" t="e">
        <f>_xlfn.XLOOKUP(D:D,'DATA รถถึงเส้นรอง KKN'!A:A,'DATA รถถึงเส้นรอง KKN'!B:B)</f>
        <v>#N/A</v>
      </c>
      <c r="D76" s="32" t="e">
        <f>_xlfn.XLOOKUP(E76,'DATA รถถึงเส้นรอง KKN'!C:C,'DATA รถถึงเส้นรอง KKN'!A:A)</f>
        <v>#N/A</v>
      </c>
      <c r="E76" s="32" cm="1">
        <f t="array" ref="E76">INDEX('DATA รถถึงเส้นรอง KKN'!C:C,ROW()-3)</f>
        <v>0</v>
      </c>
      <c r="F76" s="22" t="e">
        <f>_xlfn.XLOOKUP(E76,'DATA รถถึงเส้นรอง KKN'!C:C,'DATA รถถึงเส้นรอง KKN'!O:O)</f>
        <v>#N/A</v>
      </c>
      <c r="G76" s="22" t="e">
        <f>_xlfn.XLOOKUP(E76,'DATA รถถึงเส้นรอง KKN'!C:C,'DATA รถถึงเส้นรอง KKN'!L:L)</f>
        <v>#N/A</v>
      </c>
      <c r="H76" s="22" t="e">
        <f>_xlfn.XLOOKUP(E76,#REF!,#REF!)</f>
        <v>#REF!</v>
      </c>
      <c r="I76" s="22" t="e">
        <f>_xlfn.XLOOKUP(E76,#REF!,#REF!)</f>
        <v>#REF!</v>
      </c>
      <c r="J76" s="23" t="e">
        <f>_xlfn.XLOOKUP(E76,'DATA รถถึงเส้นรอง KKN'!C:C,'DATA รถถึงเส้นรอง KKN'!AP:AP)</f>
        <v>#N/A</v>
      </c>
      <c r="K76" s="24" t="e">
        <f>_xlfn.XLOOKUP(E76,'DATA รถถึงเส้นรอง KKN'!C:C,'DATA รถถึงเส้นรอง KKN'!AV:AV)</f>
        <v>#N/A</v>
      </c>
      <c r="L76" s="25" t="e">
        <f t="shared" si="12"/>
        <v>#N/A</v>
      </c>
      <c r="M76" s="24" t="e">
        <f>_xlfn.XLOOKUP(E76,'DATA รถถึงเส้นรอง KKN'!C:C,'DATA รถถึงเส้นรอง KKN'!AW:AW)</f>
        <v>#N/A</v>
      </c>
      <c r="N76" s="24" t="e">
        <f>_xlfn.XLOOKUP(E76,'DATA รถถึงเส้นรอง KKN'!C:C,'DATA รถถึงเส้นรอง KKN'!AY:AY)</f>
        <v>#N/A</v>
      </c>
      <c r="O76" s="26" t="e">
        <f t="shared" si="13"/>
        <v>#N/A</v>
      </c>
      <c r="P76" s="24" t="e">
        <f>_xlfn.XLOOKUP(E76,'DATA รถถึงเส้นรอง KKN'!C:C,'DATA รถถึงเส้นรอง KKN'!AZ:AZ)</f>
        <v>#N/A</v>
      </c>
      <c r="Q76" s="60" t="str">
        <f t="shared" si="14"/>
        <v/>
      </c>
      <c r="R76" s="27"/>
      <c r="S76" s="28"/>
      <c r="T76" s="59" t="e">
        <f t="shared" si="15"/>
        <v>#N/A</v>
      </c>
      <c r="V76" s="25" t="e">
        <f t="shared" ref="V76:V84" si="16">RIGHT(P76,8)</f>
        <v>#N/A</v>
      </c>
      <c r="W76" s="25" t="e">
        <f t="shared" ref="W76:W84" si="17">RIGHT(N76,8)</f>
        <v>#N/A</v>
      </c>
      <c r="X76" s="29" t="e">
        <f t="shared" ref="X76:X84" si="18">MOD(V76-W76,1)</f>
        <v>#N/A</v>
      </c>
    </row>
    <row r="77" spans="2:24" ht="20.25">
      <c r="B77" s="20">
        <v>73</v>
      </c>
      <c r="C77" s="58" t="e">
        <f>_xlfn.XLOOKUP(D:D,'DATA รถถึงเส้นรอง KKN'!A:A,'DATA รถถึงเส้นรอง KKN'!B:B)</f>
        <v>#N/A</v>
      </c>
      <c r="D77" s="32" t="e">
        <f>_xlfn.XLOOKUP(E77,'DATA รถถึงเส้นรอง KKN'!C:C,'DATA รถถึงเส้นรอง KKN'!A:A)</f>
        <v>#N/A</v>
      </c>
      <c r="E77" s="32" cm="1">
        <f t="array" ref="E77">INDEX('DATA รถถึงเส้นรอง KKN'!C:C,ROW()-3)</f>
        <v>0</v>
      </c>
      <c r="F77" s="22" t="e">
        <f>_xlfn.XLOOKUP(E77,'DATA รถถึงเส้นรอง KKN'!C:C,'DATA รถถึงเส้นรอง KKN'!O:O)</f>
        <v>#N/A</v>
      </c>
      <c r="G77" s="22" t="e">
        <f>_xlfn.XLOOKUP(E77,'DATA รถถึงเส้นรอง KKN'!C:C,'DATA รถถึงเส้นรอง KKN'!L:L)</f>
        <v>#N/A</v>
      </c>
      <c r="H77" s="22" t="e">
        <f>_xlfn.XLOOKUP(E77,#REF!,#REF!)</f>
        <v>#REF!</v>
      </c>
      <c r="I77" s="22" t="e">
        <f>_xlfn.XLOOKUP(E77,#REF!,#REF!)</f>
        <v>#REF!</v>
      </c>
      <c r="J77" s="23" t="e">
        <f>_xlfn.XLOOKUP(E77,'DATA รถถึงเส้นรอง KKN'!C:C,'DATA รถถึงเส้นรอง KKN'!AP:AP)</f>
        <v>#N/A</v>
      </c>
      <c r="K77" s="24" t="e">
        <f>_xlfn.XLOOKUP(E77,'DATA รถถึงเส้นรอง KKN'!C:C,'DATA รถถึงเส้นรอง KKN'!AV:AV)</f>
        <v>#N/A</v>
      </c>
      <c r="L77" s="25" t="e">
        <f t="shared" si="12"/>
        <v>#N/A</v>
      </c>
      <c r="M77" s="24" t="e">
        <f>_xlfn.XLOOKUP(E77,'DATA รถถึงเส้นรอง KKN'!C:C,'DATA รถถึงเส้นรอง KKN'!AW:AW)</f>
        <v>#N/A</v>
      </c>
      <c r="N77" s="24" t="e">
        <f>_xlfn.XLOOKUP(E77,'DATA รถถึงเส้นรอง KKN'!C:C,'DATA รถถึงเส้นรอง KKN'!AY:AY)</f>
        <v>#N/A</v>
      </c>
      <c r="O77" s="26" t="e">
        <f t="shared" si="13"/>
        <v>#N/A</v>
      </c>
      <c r="P77" s="24" t="e">
        <f>_xlfn.XLOOKUP(E77,'DATA รถถึงเส้นรอง KKN'!C:C,'DATA รถถึงเส้นรอง KKN'!AZ:AZ)</f>
        <v>#N/A</v>
      </c>
      <c r="Q77" s="60" t="str">
        <f t="shared" si="14"/>
        <v/>
      </c>
      <c r="R77" s="27"/>
      <c r="S77" s="28"/>
      <c r="T77" s="59" t="e">
        <f t="shared" si="15"/>
        <v>#N/A</v>
      </c>
      <c r="V77" s="25" t="e">
        <f t="shared" si="16"/>
        <v>#N/A</v>
      </c>
      <c r="W77" s="25" t="e">
        <f t="shared" si="17"/>
        <v>#N/A</v>
      </c>
      <c r="X77" s="29" t="e">
        <f t="shared" si="18"/>
        <v>#N/A</v>
      </c>
    </row>
    <row r="78" spans="2:24" ht="20.25">
      <c r="B78" s="20">
        <v>74</v>
      </c>
      <c r="C78" s="58" t="e">
        <f>_xlfn.XLOOKUP(D:D,'DATA รถถึงเส้นรอง KKN'!A:A,'DATA รถถึงเส้นรอง KKN'!B:B)</f>
        <v>#N/A</v>
      </c>
      <c r="D78" s="32" t="e">
        <f>_xlfn.XLOOKUP(E78,'DATA รถถึงเส้นรอง KKN'!C:C,'DATA รถถึงเส้นรอง KKN'!A:A)</f>
        <v>#N/A</v>
      </c>
      <c r="E78" s="32" cm="1">
        <f t="array" ref="E78">INDEX('DATA รถถึงเส้นรอง KKN'!C:C,ROW()-3)</f>
        <v>0</v>
      </c>
      <c r="F78" s="22" t="e">
        <f>_xlfn.XLOOKUP(E78,'DATA รถถึงเส้นรอง KKN'!C:C,'DATA รถถึงเส้นรอง KKN'!O:O)</f>
        <v>#N/A</v>
      </c>
      <c r="G78" s="22" t="e">
        <f>_xlfn.XLOOKUP(E78,'DATA รถถึงเส้นรอง KKN'!C:C,'DATA รถถึงเส้นรอง KKN'!L:L)</f>
        <v>#N/A</v>
      </c>
      <c r="H78" s="22" t="e">
        <f>_xlfn.XLOOKUP(E78,#REF!,#REF!)</f>
        <v>#REF!</v>
      </c>
      <c r="I78" s="22" t="e">
        <f>_xlfn.XLOOKUP(E78,#REF!,#REF!)</f>
        <v>#REF!</v>
      </c>
      <c r="J78" s="23" t="e">
        <f>_xlfn.XLOOKUP(E78,'DATA รถถึงเส้นรอง KKN'!C:C,'DATA รถถึงเส้นรอง KKN'!AP:AP)</f>
        <v>#N/A</v>
      </c>
      <c r="K78" s="24" t="e">
        <f>_xlfn.XLOOKUP(E78,'DATA รถถึงเส้นรอง KKN'!C:C,'DATA รถถึงเส้นรอง KKN'!AV:AV)</f>
        <v>#N/A</v>
      </c>
      <c r="L78" s="25" t="e">
        <f t="shared" si="12"/>
        <v>#N/A</v>
      </c>
      <c r="M78" s="24" t="e">
        <f>_xlfn.XLOOKUP(E78,'DATA รถถึงเส้นรอง KKN'!C:C,'DATA รถถึงเส้นรอง KKN'!AW:AW)</f>
        <v>#N/A</v>
      </c>
      <c r="N78" s="24" t="e">
        <f>_xlfn.XLOOKUP(E78,'DATA รถถึงเส้นรอง KKN'!C:C,'DATA รถถึงเส้นรอง KKN'!AY:AY)</f>
        <v>#N/A</v>
      </c>
      <c r="O78" s="26" t="e">
        <f t="shared" si="13"/>
        <v>#N/A</v>
      </c>
      <c r="P78" s="24" t="e">
        <f>_xlfn.XLOOKUP(E78,'DATA รถถึงเส้นรอง KKN'!C:C,'DATA รถถึงเส้นรอง KKN'!AZ:AZ)</f>
        <v>#N/A</v>
      </c>
      <c r="Q78" s="60" t="str">
        <f t="shared" si="14"/>
        <v/>
      </c>
      <c r="R78" s="27"/>
      <c r="S78" s="28"/>
      <c r="T78" s="59" t="e">
        <f t="shared" si="15"/>
        <v>#N/A</v>
      </c>
      <c r="V78" s="25" t="e">
        <f t="shared" si="16"/>
        <v>#N/A</v>
      </c>
      <c r="W78" s="25" t="e">
        <f t="shared" si="17"/>
        <v>#N/A</v>
      </c>
      <c r="X78" s="29" t="e">
        <f t="shared" si="18"/>
        <v>#N/A</v>
      </c>
    </row>
    <row r="79" spans="2:24" ht="20.25">
      <c r="B79" s="20">
        <v>75</v>
      </c>
      <c r="C79" s="58" t="e">
        <f>_xlfn.XLOOKUP(D:D,'DATA รถถึงเส้นรอง KKN'!A:A,'DATA รถถึงเส้นรอง KKN'!B:B)</f>
        <v>#N/A</v>
      </c>
      <c r="D79" s="32" t="e">
        <f>_xlfn.XLOOKUP(E79,'DATA รถถึงเส้นรอง KKN'!C:C,'DATA รถถึงเส้นรอง KKN'!A:A)</f>
        <v>#N/A</v>
      </c>
      <c r="E79" s="32" cm="1">
        <f t="array" ref="E79">INDEX('DATA รถถึงเส้นรอง KKN'!C:C,ROW()-3)</f>
        <v>0</v>
      </c>
      <c r="F79" s="22" t="e">
        <f>_xlfn.XLOOKUP(E79,'DATA รถถึงเส้นรอง KKN'!C:C,'DATA รถถึงเส้นรอง KKN'!O:O)</f>
        <v>#N/A</v>
      </c>
      <c r="G79" s="22" t="e">
        <f>_xlfn.XLOOKUP(E79,'DATA รถถึงเส้นรอง KKN'!C:C,'DATA รถถึงเส้นรอง KKN'!L:L)</f>
        <v>#N/A</v>
      </c>
      <c r="H79" s="22" t="e">
        <f>_xlfn.XLOOKUP(E79,#REF!,#REF!)</f>
        <v>#REF!</v>
      </c>
      <c r="I79" s="22" t="e">
        <f>_xlfn.XLOOKUP(E79,#REF!,#REF!)</f>
        <v>#REF!</v>
      </c>
      <c r="J79" s="23" t="e">
        <f>_xlfn.XLOOKUP(E79,'DATA รถถึงเส้นรอง KKN'!C:C,'DATA รถถึงเส้นรอง KKN'!AP:AP)</f>
        <v>#N/A</v>
      </c>
      <c r="K79" s="24" t="e">
        <f>_xlfn.XLOOKUP(E79,'DATA รถถึงเส้นรอง KKN'!C:C,'DATA รถถึงเส้นรอง KKN'!AV:AV)</f>
        <v>#N/A</v>
      </c>
      <c r="L79" s="25" t="e">
        <f t="shared" si="12"/>
        <v>#N/A</v>
      </c>
      <c r="M79" s="24" t="e">
        <f>_xlfn.XLOOKUP(E79,'DATA รถถึงเส้นรอง KKN'!C:C,'DATA รถถึงเส้นรอง KKN'!AW:AW)</f>
        <v>#N/A</v>
      </c>
      <c r="N79" s="24" t="e">
        <f>_xlfn.XLOOKUP(E79,'DATA รถถึงเส้นรอง KKN'!C:C,'DATA รถถึงเส้นรอง KKN'!AY:AY)</f>
        <v>#N/A</v>
      </c>
      <c r="O79" s="26" t="e">
        <f t="shared" si="13"/>
        <v>#N/A</v>
      </c>
      <c r="P79" s="24" t="e">
        <f>_xlfn.XLOOKUP(E79,'DATA รถถึงเส้นรอง KKN'!C:C,'DATA รถถึงเส้นรอง KKN'!AZ:AZ)</f>
        <v>#N/A</v>
      </c>
      <c r="Q79" s="60" t="str">
        <f t="shared" si="14"/>
        <v/>
      </c>
      <c r="R79" s="27"/>
      <c r="S79" s="28"/>
      <c r="T79" s="59" t="e">
        <f t="shared" si="15"/>
        <v>#N/A</v>
      </c>
      <c r="V79" s="25" t="e">
        <f t="shared" si="16"/>
        <v>#N/A</v>
      </c>
      <c r="W79" s="25" t="e">
        <f t="shared" si="17"/>
        <v>#N/A</v>
      </c>
      <c r="X79" s="29" t="e">
        <f t="shared" si="18"/>
        <v>#N/A</v>
      </c>
    </row>
    <row r="80" spans="2:24" ht="20.25">
      <c r="B80" s="20">
        <v>76</v>
      </c>
      <c r="C80" s="58" t="e">
        <f>_xlfn.XLOOKUP(D:D,'DATA รถถึงเส้นรอง KKN'!A:A,'DATA รถถึงเส้นรอง KKN'!B:B)</f>
        <v>#N/A</v>
      </c>
      <c r="D80" s="32" t="e">
        <f>_xlfn.XLOOKUP(E80,'DATA รถถึงเส้นรอง KKN'!C:C,'DATA รถถึงเส้นรอง KKN'!A:A)</f>
        <v>#N/A</v>
      </c>
      <c r="E80" s="32" cm="1">
        <f t="array" ref="E80">INDEX('DATA รถถึงเส้นรอง KKN'!C:C,ROW()-3)</f>
        <v>0</v>
      </c>
      <c r="F80" s="22" t="e">
        <f>_xlfn.XLOOKUP(E80,'DATA รถถึงเส้นรอง KKN'!C:C,'DATA รถถึงเส้นรอง KKN'!O:O)</f>
        <v>#N/A</v>
      </c>
      <c r="G80" s="22" t="e">
        <f>_xlfn.XLOOKUP(E80,'DATA รถถึงเส้นรอง KKN'!C:C,'DATA รถถึงเส้นรอง KKN'!L:L)</f>
        <v>#N/A</v>
      </c>
      <c r="H80" s="22" t="e">
        <f>_xlfn.XLOOKUP(E80,#REF!,#REF!)</f>
        <v>#REF!</v>
      </c>
      <c r="I80" s="22" t="e">
        <f>_xlfn.XLOOKUP(E80,#REF!,#REF!)</f>
        <v>#REF!</v>
      </c>
      <c r="J80" s="23" t="e">
        <f>_xlfn.XLOOKUP(E80,'DATA รถถึงเส้นรอง KKN'!C:C,'DATA รถถึงเส้นรอง KKN'!AP:AP)</f>
        <v>#N/A</v>
      </c>
      <c r="K80" s="24" t="e">
        <f>_xlfn.XLOOKUP(E80,'DATA รถถึงเส้นรอง KKN'!C:C,'DATA รถถึงเส้นรอง KKN'!AV:AV)</f>
        <v>#N/A</v>
      </c>
      <c r="L80" s="25" t="e">
        <f t="shared" si="12"/>
        <v>#N/A</v>
      </c>
      <c r="M80" s="24" t="e">
        <f>_xlfn.XLOOKUP(E80,'DATA รถถึงเส้นรอง KKN'!C:C,'DATA รถถึงเส้นรอง KKN'!AW:AW)</f>
        <v>#N/A</v>
      </c>
      <c r="N80" s="24" t="e">
        <f>_xlfn.XLOOKUP(E80,'DATA รถถึงเส้นรอง KKN'!C:C,'DATA รถถึงเส้นรอง KKN'!AY:AY)</f>
        <v>#N/A</v>
      </c>
      <c r="O80" s="26" t="e">
        <f t="shared" si="13"/>
        <v>#N/A</v>
      </c>
      <c r="P80" s="24" t="e">
        <f>_xlfn.XLOOKUP(E80,'DATA รถถึงเส้นรอง KKN'!C:C,'DATA รถถึงเส้นรอง KKN'!AZ:AZ)</f>
        <v>#N/A</v>
      </c>
      <c r="Q80" s="60" t="str">
        <f t="shared" si="14"/>
        <v/>
      </c>
      <c r="R80" s="27"/>
      <c r="S80" s="28"/>
      <c r="T80" s="59" t="e">
        <f t="shared" si="15"/>
        <v>#N/A</v>
      </c>
      <c r="V80" s="25" t="e">
        <f t="shared" si="16"/>
        <v>#N/A</v>
      </c>
      <c r="W80" s="25" t="e">
        <f t="shared" si="17"/>
        <v>#N/A</v>
      </c>
      <c r="X80" s="29" t="e">
        <f t="shared" si="18"/>
        <v>#N/A</v>
      </c>
    </row>
    <row r="81" spans="2:24" ht="20.25">
      <c r="B81" s="20">
        <v>77</v>
      </c>
      <c r="C81" s="58" t="e">
        <f>_xlfn.XLOOKUP(D:D,'DATA รถถึงเส้นรอง KKN'!A:A,'DATA รถถึงเส้นรอง KKN'!B:B)</f>
        <v>#N/A</v>
      </c>
      <c r="D81" s="32" t="e">
        <f>_xlfn.XLOOKUP(E81,'DATA รถถึงเส้นรอง KKN'!C:C,'DATA รถถึงเส้นรอง KKN'!A:A)</f>
        <v>#N/A</v>
      </c>
      <c r="E81" s="32" cm="1">
        <f t="array" ref="E81">INDEX('DATA รถถึงเส้นรอง KKN'!C:C,ROW()-3)</f>
        <v>0</v>
      </c>
      <c r="F81" s="22" t="e">
        <f>_xlfn.XLOOKUP(E81,'DATA รถถึงเส้นรอง KKN'!C:C,'DATA รถถึงเส้นรอง KKN'!O:O)</f>
        <v>#N/A</v>
      </c>
      <c r="G81" s="22" t="e">
        <f>_xlfn.XLOOKUP(E81,'DATA รถถึงเส้นรอง KKN'!C:C,'DATA รถถึงเส้นรอง KKN'!L:L)</f>
        <v>#N/A</v>
      </c>
      <c r="H81" s="22" t="e">
        <f>_xlfn.XLOOKUP(E81,#REF!,#REF!)</f>
        <v>#REF!</v>
      </c>
      <c r="I81" s="22" t="e">
        <f>_xlfn.XLOOKUP(E81,#REF!,#REF!)</f>
        <v>#REF!</v>
      </c>
      <c r="J81" s="23" t="e">
        <f>_xlfn.XLOOKUP(E81,'DATA รถถึงเส้นรอง KKN'!C:C,'DATA รถถึงเส้นรอง KKN'!AP:AP)</f>
        <v>#N/A</v>
      </c>
      <c r="K81" s="24" t="e">
        <f>_xlfn.XLOOKUP(E81,'DATA รถถึงเส้นรอง KKN'!C:C,'DATA รถถึงเส้นรอง KKN'!AV:AV)</f>
        <v>#N/A</v>
      </c>
      <c r="L81" s="25" t="e">
        <f t="shared" si="12"/>
        <v>#N/A</v>
      </c>
      <c r="M81" s="24" t="e">
        <f>_xlfn.XLOOKUP(E81,'DATA รถถึงเส้นรอง KKN'!C:C,'DATA รถถึงเส้นรอง KKN'!AW:AW)</f>
        <v>#N/A</v>
      </c>
      <c r="N81" s="24" t="e">
        <f>_xlfn.XLOOKUP(E81,'DATA รถถึงเส้นรอง KKN'!C:C,'DATA รถถึงเส้นรอง KKN'!AY:AY)</f>
        <v>#N/A</v>
      </c>
      <c r="O81" s="26" t="e">
        <f t="shared" si="13"/>
        <v>#N/A</v>
      </c>
      <c r="P81" s="24" t="e">
        <f>_xlfn.XLOOKUP(E81,'DATA รถถึงเส้นรอง KKN'!C:C,'DATA รถถึงเส้นรอง KKN'!AZ:AZ)</f>
        <v>#N/A</v>
      </c>
      <c r="Q81" s="60" t="str">
        <f t="shared" si="14"/>
        <v/>
      </c>
      <c r="R81" s="27"/>
      <c r="S81" s="28"/>
      <c r="T81" s="59" t="e">
        <f t="shared" si="15"/>
        <v>#N/A</v>
      </c>
      <c r="V81" s="25" t="e">
        <f t="shared" si="16"/>
        <v>#N/A</v>
      </c>
      <c r="W81" s="25" t="e">
        <f t="shared" si="17"/>
        <v>#N/A</v>
      </c>
      <c r="X81" s="29" t="e">
        <f t="shared" si="18"/>
        <v>#N/A</v>
      </c>
    </row>
    <row r="82" spans="2:24" ht="20.25">
      <c r="B82" s="20">
        <v>78</v>
      </c>
      <c r="C82" s="58" t="e">
        <f>_xlfn.XLOOKUP(D:D,'DATA รถถึงเส้นรอง KKN'!A:A,'DATA รถถึงเส้นรอง KKN'!B:B)</f>
        <v>#N/A</v>
      </c>
      <c r="D82" s="32" t="e">
        <f>_xlfn.XLOOKUP(E82,'DATA รถถึงเส้นรอง KKN'!C:C,'DATA รถถึงเส้นรอง KKN'!A:A)</f>
        <v>#N/A</v>
      </c>
      <c r="E82" s="32" cm="1">
        <f t="array" ref="E82">INDEX('DATA รถถึงเส้นรอง KKN'!C:C,ROW()-3)</f>
        <v>0</v>
      </c>
      <c r="F82" s="22" t="e">
        <f>_xlfn.XLOOKUP(E82,'DATA รถถึงเส้นรอง KKN'!C:C,'DATA รถถึงเส้นรอง KKN'!O:O)</f>
        <v>#N/A</v>
      </c>
      <c r="G82" s="22" t="e">
        <f>_xlfn.XLOOKUP(E82,'DATA รถถึงเส้นรอง KKN'!C:C,'DATA รถถึงเส้นรอง KKN'!L:L)</f>
        <v>#N/A</v>
      </c>
      <c r="H82" s="22" t="e">
        <f>_xlfn.XLOOKUP(E82,#REF!,#REF!)</f>
        <v>#REF!</v>
      </c>
      <c r="I82" s="22" t="e">
        <f>_xlfn.XLOOKUP(E82,#REF!,#REF!)</f>
        <v>#REF!</v>
      </c>
      <c r="J82" s="23" t="e">
        <f>_xlfn.XLOOKUP(E82,'DATA รถถึงเส้นรอง KKN'!C:C,'DATA รถถึงเส้นรอง KKN'!AP:AP)</f>
        <v>#N/A</v>
      </c>
      <c r="K82" s="24" t="e">
        <f>_xlfn.XLOOKUP(E82,'DATA รถถึงเส้นรอง KKN'!C:C,'DATA รถถึงเส้นรอง KKN'!AV:AV)</f>
        <v>#N/A</v>
      </c>
      <c r="L82" s="25" t="e">
        <f t="shared" si="12"/>
        <v>#N/A</v>
      </c>
      <c r="M82" s="24" t="e">
        <f>_xlfn.XLOOKUP(E82,'DATA รถถึงเส้นรอง KKN'!C:C,'DATA รถถึงเส้นรอง KKN'!AW:AW)</f>
        <v>#N/A</v>
      </c>
      <c r="N82" s="24" t="e">
        <f>_xlfn.XLOOKUP(E82,'DATA รถถึงเส้นรอง KKN'!C:C,'DATA รถถึงเส้นรอง KKN'!AY:AY)</f>
        <v>#N/A</v>
      </c>
      <c r="O82" s="26" t="e">
        <f t="shared" si="13"/>
        <v>#N/A</v>
      </c>
      <c r="P82" s="24" t="e">
        <f>_xlfn.XLOOKUP(E82,'DATA รถถึงเส้นรอง KKN'!C:C,'DATA รถถึงเส้นรอง KKN'!AZ:AZ)</f>
        <v>#N/A</v>
      </c>
      <c r="Q82" s="60" t="str">
        <f t="shared" si="14"/>
        <v/>
      </c>
      <c r="R82" s="27"/>
      <c r="S82" s="28"/>
      <c r="T82" s="59" t="e">
        <f t="shared" si="15"/>
        <v>#N/A</v>
      </c>
      <c r="V82" s="25" t="e">
        <f t="shared" si="16"/>
        <v>#N/A</v>
      </c>
      <c r="W82" s="25" t="e">
        <f t="shared" si="17"/>
        <v>#N/A</v>
      </c>
      <c r="X82" s="29" t="e">
        <f t="shared" si="18"/>
        <v>#N/A</v>
      </c>
    </row>
    <row r="83" spans="2:24" ht="20.25">
      <c r="B83" s="20">
        <v>79</v>
      </c>
      <c r="C83" s="58" t="e">
        <f>_xlfn.XLOOKUP(D:D,'DATA รถถึงเส้นรอง KKN'!A:A,'DATA รถถึงเส้นรอง KKN'!B:B)</f>
        <v>#N/A</v>
      </c>
      <c r="D83" s="32" t="e">
        <f>_xlfn.XLOOKUP(E83,'DATA รถถึงเส้นรอง KKN'!C:C,'DATA รถถึงเส้นรอง KKN'!A:A)</f>
        <v>#N/A</v>
      </c>
      <c r="E83" s="32" cm="1">
        <f t="array" ref="E83">INDEX('DATA รถถึงเส้นรอง KKN'!C:C,ROW()-3)</f>
        <v>0</v>
      </c>
      <c r="F83" s="22" t="e">
        <f>_xlfn.XLOOKUP(E83,'DATA รถถึงเส้นรอง KKN'!C:C,'DATA รถถึงเส้นรอง KKN'!O:O)</f>
        <v>#N/A</v>
      </c>
      <c r="G83" s="22" t="e">
        <f>_xlfn.XLOOKUP(E83,'DATA รถถึงเส้นรอง KKN'!C:C,'DATA รถถึงเส้นรอง KKN'!L:L)</f>
        <v>#N/A</v>
      </c>
      <c r="H83" s="22" t="e">
        <f>_xlfn.XLOOKUP(E83,#REF!,#REF!)</f>
        <v>#REF!</v>
      </c>
      <c r="I83" s="22" t="e">
        <f>_xlfn.XLOOKUP(E83,#REF!,#REF!)</f>
        <v>#REF!</v>
      </c>
      <c r="J83" s="23" t="e">
        <f>_xlfn.XLOOKUP(E83,'DATA รถถึงเส้นรอง KKN'!C:C,'DATA รถถึงเส้นรอง KKN'!AP:AP)</f>
        <v>#N/A</v>
      </c>
      <c r="K83" s="24" t="e">
        <f>_xlfn.XLOOKUP(E83,'DATA รถถึงเส้นรอง KKN'!C:C,'DATA รถถึงเส้นรอง KKN'!AV:AV)</f>
        <v>#N/A</v>
      </c>
      <c r="L83" s="25" t="e">
        <f t="shared" ref="L83:L88" si="19">M83+TIME(2,0,0)</f>
        <v>#N/A</v>
      </c>
      <c r="M83" s="24" t="e">
        <f>_xlfn.XLOOKUP(E83,'DATA รถถึงเส้นรอง KKN'!C:C,'DATA รถถึงเส้นรอง KKN'!AW:AW)</f>
        <v>#N/A</v>
      </c>
      <c r="N83" s="24" t="e">
        <f>_xlfn.XLOOKUP(E83,'DATA รถถึงเส้นรอง KKN'!C:C,'DATA รถถึงเส้นรอง KKN'!AY:AY)</f>
        <v>#N/A</v>
      </c>
      <c r="O83" s="26" t="e">
        <f t="shared" si="13"/>
        <v>#N/A</v>
      </c>
      <c r="P83" s="24" t="e">
        <f>_xlfn.XLOOKUP(E83,'DATA รถถึงเส้นรอง KKN'!C:C,'DATA รถถึงเส้นรอง KKN'!AZ:AZ)</f>
        <v>#N/A</v>
      </c>
      <c r="Q83" s="60" t="str">
        <f t="shared" si="14"/>
        <v/>
      </c>
      <c r="R83" s="27"/>
      <c r="S83" s="28"/>
      <c r="T83" s="59" t="e">
        <f t="shared" si="15"/>
        <v>#N/A</v>
      </c>
      <c r="V83" s="25" t="e">
        <f t="shared" si="16"/>
        <v>#N/A</v>
      </c>
      <c r="W83" s="25" t="e">
        <f t="shared" si="17"/>
        <v>#N/A</v>
      </c>
      <c r="X83" s="29" t="e">
        <f t="shared" si="18"/>
        <v>#N/A</v>
      </c>
    </row>
    <row r="84" spans="2:24" ht="20.25">
      <c r="B84" s="20">
        <v>80</v>
      </c>
      <c r="C84" s="58" t="e">
        <f>_xlfn.XLOOKUP(D:D,'DATA รถถึงเส้นรอง KKN'!A:A,'DATA รถถึงเส้นรอง KKN'!B:B)</f>
        <v>#N/A</v>
      </c>
      <c r="D84" s="32" t="e">
        <f>_xlfn.XLOOKUP(E84,'DATA รถถึงเส้นรอง KKN'!C:C,'DATA รถถึงเส้นรอง KKN'!A:A)</f>
        <v>#N/A</v>
      </c>
      <c r="E84" s="32" cm="1">
        <f t="array" ref="E84">INDEX('DATA รถถึงเส้นรอง KKN'!C:C,ROW()-3)</f>
        <v>0</v>
      </c>
      <c r="F84" s="22" t="e">
        <f>_xlfn.XLOOKUP(E84,'DATA รถถึงเส้นรอง KKN'!C:C,'DATA รถถึงเส้นรอง KKN'!O:O)</f>
        <v>#N/A</v>
      </c>
      <c r="G84" s="22" t="e">
        <f>_xlfn.XLOOKUP(E84,'DATA รถถึงเส้นรอง KKN'!C:C,'DATA รถถึงเส้นรอง KKN'!L:L)</f>
        <v>#N/A</v>
      </c>
      <c r="H84" s="22" t="e">
        <f>_xlfn.XLOOKUP(E84,#REF!,#REF!)</f>
        <v>#REF!</v>
      </c>
      <c r="I84" s="22" t="e">
        <f>_xlfn.XLOOKUP(E84,#REF!,#REF!)</f>
        <v>#REF!</v>
      </c>
      <c r="J84" s="23" t="e">
        <f>_xlfn.XLOOKUP(E84,'DATA รถถึงเส้นรอง KKN'!C:C,'DATA รถถึงเส้นรอง KKN'!AP:AP)</f>
        <v>#N/A</v>
      </c>
      <c r="K84" s="24" t="e">
        <f>_xlfn.XLOOKUP(E84,'DATA รถถึงเส้นรอง KKN'!C:C,'DATA รถถึงเส้นรอง KKN'!AV:AV)</f>
        <v>#N/A</v>
      </c>
      <c r="L84" s="25" t="e">
        <f t="shared" si="19"/>
        <v>#N/A</v>
      </c>
      <c r="M84" s="24" t="e">
        <f>_xlfn.XLOOKUP(E84,'DATA รถถึงเส้นรอง KKN'!C:C,'DATA รถถึงเส้นรอง KKN'!AW:AW)</f>
        <v>#N/A</v>
      </c>
      <c r="N84" s="24" t="e">
        <f>_xlfn.XLOOKUP(E84,'DATA รถถึงเส้นรอง KKN'!C:C,'DATA รถถึงเส้นรอง KKN'!AY:AY)</f>
        <v>#N/A</v>
      </c>
      <c r="O84" s="26" t="e">
        <f t="shared" ref="O84:O101" si="20">IF(OR(N84=0,L84=0,N84="",L84=""),"ข้อมูลไม่ครบ",IF(TEXT(N84,"hh:mm:ss")&gt;TEXT(L84,"hh:mm:ss"),"เกินเวลาลงพัสดุ","อยู่ในเวลาที่ควรลง"))</f>
        <v>#N/A</v>
      </c>
      <c r="P84" s="24" t="e">
        <f>_xlfn.XLOOKUP(E84,'DATA รถถึงเส้นรอง KKN'!C:C,'DATA รถถึงเส้นรอง KKN'!AZ:AZ)</f>
        <v>#N/A</v>
      </c>
      <c r="Q84" s="60" t="str">
        <f t="shared" si="14"/>
        <v/>
      </c>
      <c r="R84" s="27"/>
      <c r="S84" s="28"/>
      <c r="T84" s="59" t="e">
        <f t="shared" si="15"/>
        <v>#N/A</v>
      </c>
      <c r="V84" s="25" t="e">
        <f t="shared" si="16"/>
        <v>#N/A</v>
      </c>
      <c r="W84" s="25" t="e">
        <f t="shared" si="17"/>
        <v>#N/A</v>
      </c>
      <c r="X84" s="29" t="e">
        <f t="shared" si="18"/>
        <v>#N/A</v>
      </c>
    </row>
    <row r="85" spans="2:24" ht="20.25">
      <c r="B85" s="20">
        <v>81</v>
      </c>
      <c r="C85" s="58" t="e">
        <f>_xlfn.XLOOKUP(D:D,'DATA รถถึงเส้นรอง KKN'!A:A,'DATA รถถึงเส้นรอง KKN'!B:B)</f>
        <v>#N/A</v>
      </c>
      <c r="D85" s="32" t="e">
        <f>_xlfn.XLOOKUP(E85,'DATA รถถึงเส้นรอง KKN'!C:C,'DATA รถถึงเส้นรอง KKN'!A:A)</f>
        <v>#N/A</v>
      </c>
      <c r="E85" s="32" cm="1">
        <f t="array" ref="E85">INDEX('DATA รถถึงเส้นรอง KKN'!C:C,ROW()-3)</f>
        <v>0</v>
      </c>
      <c r="F85" s="22" t="e">
        <f>_xlfn.XLOOKUP(E85,'DATA รถถึงเส้นรอง KKN'!C:C,'DATA รถถึงเส้นรอง KKN'!O:O)</f>
        <v>#N/A</v>
      </c>
      <c r="G85" s="22" t="e">
        <f>_xlfn.XLOOKUP(E85,'DATA รถถึงเส้นรอง KKN'!C:C,'DATA รถถึงเส้นรอง KKN'!L:L)</f>
        <v>#N/A</v>
      </c>
      <c r="H85" s="22" t="e">
        <f>_xlfn.XLOOKUP(E85,#REF!,#REF!)</f>
        <v>#REF!</v>
      </c>
      <c r="I85" s="22" t="e">
        <f>_xlfn.XLOOKUP(E85,#REF!,#REF!)</f>
        <v>#REF!</v>
      </c>
      <c r="J85" s="23" t="e">
        <f>_xlfn.XLOOKUP(E85,'DATA รถถึงเส้นรอง KKN'!C:C,'DATA รถถึงเส้นรอง KKN'!AP:AP)</f>
        <v>#N/A</v>
      </c>
      <c r="K85" s="24" t="e">
        <f>_xlfn.XLOOKUP(E85,'DATA รถถึงเส้นรอง KKN'!C:C,'DATA รถถึงเส้นรอง KKN'!AV:AV)</f>
        <v>#N/A</v>
      </c>
      <c r="L85" s="25" t="e">
        <f t="shared" si="19"/>
        <v>#N/A</v>
      </c>
      <c r="M85" s="24" t="e">
        <f>_xlfn.XLOOKUP(E85,'DATA รถถึงเส้นรอง KKN'!C:C,'DATA รถถึงเส้นรอง KKN'!AW:AW)</f>
        <v>#N/A</v>
      </c>
      <c r="N85" s="24" t="e">
        <f>_xlfn.XLOOKUP(E85,'DATA รถถึงเส้นรอง KKN'!C:C,'DATA รถถึงเส้นรอง KKN'!AY:AY)</f>
        <v>#N/A</v>
      </c>
      <c r="O85" s="26" t="e">
        <f t="shared" si="20"/>
        <v>#N/A</v>
      </c>
      <c r="P85" s="24" t="e">
        <f>_xlfn.XLOOKUP(E85,'DATA รถถึงเส้นรอง KKN'!C:C,'DATA รถถึงเส้นรอง KKN'!AZ:AZ)</f>
        <v>#N/A</v>
      </c>
      <c r="Q85" s="60" t="str">
        <f t="shared" si="14"/>
        <v/>
      </c>
      <c r="R85" s="27"/>
      <c r="S85" s="28"/>
      <c r="T85" s="59" t="e">
        <f t="shared" si="15"/>
        <v>#N/A</v>
      </c>
      <c r="V85" s="25" t="e">
        <f t="shared" ref="V85:V110" si="21">RIGHT(P85,8)</f>
        <v>#N/A</v>
      </c>
      <c r="W85" s="25" t="e">
        <f t="shared" ref="W85:W110" si="22">RIGHT(N85,8)</f>
        <v>#N/A</v>
      </c>
      <c r="X85" s="29" t="e">
        <f t="shared" ref="X85:X110" si="23">MOD(V85-W85,1)</f>
        <v>#N/A</v>
      </c>
    </row>
    <row r="86" spans="2:24" ht="20.25">
      <c r="B86" s="20">
        <v>82</v>
      </c>
      <c r="C86" s="58" t="e">
        <f>_xlfn.XLOOKUP(D:D,'DATA รถถึงเส้นรอง KKN'!A:A,'DATA รถถึงเส้นรอง KKN'!B:B)</f>
        <v>#N/A</v>
      </c>
      <c r="D86" s="32" t="e">
        <f>_xlfn.XLOOKUP(E86,'DATA รถถึงเส้นรอง KKN'!C:C,'DATA รถถึงเส้นรอง KKN'!A:A)</f>
        <v>#N/A</v>
      </c>
      <c r="E86" s="32" cm="1">
        <f t="array" ref="E86">INDEX('DATA รถถึงเส้นรอง KKN'!C:C,ROW()-3)</f>
        <v>0</v>
      </c>
      <c r="F86" s="22" t="e">
        <f>_xlfn.XLOOKUP(E86,'DATA รถถึงเส้นรอง KKN'!C:C,'DATA รถถึงเส้นรอง KKN'!O:O)</f>
        <v>#N/A</v>
      </c>
      <c r="G86" s="22" t="e">
        <f>_xlfn.XLOOKUP(E86,'DATA รถถึงเส้นรอง KKN'!C:C,'DATA รถถึงเส้นรอง KKN'!L:L)</f>
        <v>#N/A</v>
      </c>
      <c r="H86" s="22" t="e">
        <f>_xlfn.XLOOKUP(E86,#REF!,#REF!)</f>
        <v>#REF!</v>
      </c>
      <c r="I86" s="22" t="e">
        <f>_xlfn.XLOOKUP(E86,#REF!,#REF!)</f>
        <v>#REF!</v>
      </c>
      <c r="J86" s="23" t="e">
        <f>_xlfn.XLOOKUP(E86,'DATA รถถึงเส้นรอง KKN'!C:C,'DATA รถถึงเส้นรอง KKN'!AP:AP)</f>
        <v>#N/A</v>
      </c>
      <c r="K86" s="24" t="e">
        <f>_xlfn.XLOOKUP(E86,'DATA รถถึงเส้นรอง KKN'!C:C,'DATA รถถึงเส้นรอง KKN'!AV:AV)</f>
        <v>#N/A</v>
      </c>
      <c r="L86" s="25" t="e">
        <f t="shared" si="19"/>
        <v>#N/A</v>
      </c>
      <c r="M86" s="24" t="e">
        <f>_xlfn.XLOOKUP(E86,'DATA รถถึงเส้นรอง KKN'!C:C,'DATA รถถึงเส้นรอง KKN'!AW:AW)</f>
        <v>#N/A</v>
      </c>
      <c r="N86" s="24" t="e">
        <f>_xlfn.XLOOKUP(E86,'DATA รถถึงเส้นรอง KKN'!C:C,'DATA รถถึงเส้นรอง KKN'!AY:AY)</f>
        <v>#N/A</v>
      </c>
      <c r="O86" s="26" t="e">
        <f t="shared" si="20"/>
        <v>#N/A</v>
      </c>
      <c r="P86" s="24" t="e">
        <f>_xlfn.XLOOKUP(E86,'DATA รถถึงเส้นรอง KKN'!C:C,'DATA รถถึงเส้นรอง KKN'!AZ:AZ)</f>
        <v>#N/A</v>
      </c>
      <c r="Q86" s="60" t="str">
        <f t="shared" si="14"/>
        <v/>
      </c>
      <c r="R86" s="27"/>
      <c r="S86" s="28"/>
      <c r="T86" s="59" t="e">
        <f t="shared" si="15"/>
        <v>#N/A</v>
      </c>
      <c r="V86" s="25" t="e">
        <f t="shared" si="21"/>
        <v>#N/A</v>
      </c>
      <c r="W86" s="25" t="e">
        <f t="shared" si="22"/>
        <v>#N/A</v>
      </c>
      <c r="X86" s="29" t="e">
        <f t="shared" si="23"/>
        <v>#N/A</v>
      </c>
    </row>
    <row r="87" spans="2:24" ht="20.25">
      <c r="B87" s="20">
        <v>83</v>
      </c>
      <c r="C87" s="58" t="e">
        <f>_xlfn.XLOOKUP(D:D,'DATA รถถึงเส้นรอง KKN'!A:A,'DATA รถถึงเส้นรอง KKN'!B:B)</f>
        <v>#N/A</v>
      </c>
      <c r="D87" s="32" t="e">
        <f>_xlfn.XLOOKUP(E87,'DATA รถถึงเส้นรอง KKN'!C:C,'DATA รถถึงเส้นรอง KKN'!A:A)</f>
        <v>#N/A</v>
      </c>
      <c r="E87" s="32" cm="1">
        <f t="array" ref="E87">INDEX('DATA รถถึงเส้นรอง KKN'!C:C,ROW()-3)</f>
        <v>0</v>
      </c>
      <c r="F87" s="22" t="e">
        <f>_xlfn.XLOOKUP(E87,'DATA รถถึงเส้นรอง KKN'!C:C,'DATA รถถึงเส้นรอง KKN'!O:O)</f>
        <v>#N/A</v>
      </c>
      <c r="G87" s="22" t="e">
        <f>_xlfn.XLOOKUP(E87,'DATA รถถึงเส้นรอง KKN'!C:C,'DATA รถถึงเส้นรอง KKN'!L:L)</f>
        <v>#N/A</v>
      </c>
      <c r="H87" s="22" t="e">
        <f>_xlfn.XLOOKUP(E87,#REF!,#REF!)</f>
        <v>#REF!</v>
      </c>
      <c r="I87" s="22" t="e">
        <f>_xlfn.XLOOKUP(E87,#REF!,#REF!)</f>
        <v>#REF!</v>
      </c>
      <c r="J87" s="23" t="e">
        <f>_xlfn.XLOOKUP(E87,'DATA รถถึงเส้นรอง KKN'!C:C,'DATA รถถึงเส้นรอง KKN'!AP:AP)</f>
        <v>#N/A</v>
      </c>
      <c r="K87" s="24" t="e">
        <f>_xlfn.XLOOKUP(E87,'DATA รถถึงเส้นรอง KKN'!C:C,'DATA รถถึงเส้นรอง KKN'!AV:AV)</f>
        <v>#N/A</v>
      </c>
      <c r="L87" s="25" t="e">
        <f t="shared" si="19"/>
        <v>#N/A</v>
      </c>
      <c r="M87" s="24" t="e">
        <f>_xlfn.XLOOKUP(E87,'DATA รถถึงเส้นรอง KKN'!C:C,'DATA รถถึงเส้นรอง KKN'!AW:AW)</f>
        <v>#N/A</v>
      </c>
      <c r="N87" s="24" t="e">
        <f>_xlfn.XLOOKUP(E87,'DATA รถถึงเส้นรอง KKN'!C:C,'DATA รถถึงเส้นรอง KKN'!AY:AY)</f>
        <v>#N/A</v>
      </c>
      <c r="O87" s="26" t="e">
        <f t="shared" si="20"/>
        <v>#N/A</v>
      </c>
      <c r="P87" s="24" t="e">
        <f>_xlfn.XLOOKUP(E87,'DATA รถถึงเส้นรอง KKN'!C:C,'DATA รถถึงเส้นรอง KKN'!AZ:AZ)</f>
        <v>#N/A</v>
      </c>
      <c r="Q87" s="60" t="str">
        <f t="shared" si="14"/>
        <v/>
      </c>
      <c r="R87" s="27"/>
      <c r="S87" s="28"/>
      <c r="T87" s="59" t="e">
        <f t="shared" si="15"/>
        <v>#N/A</v>
      </c>
      <c r="V87" s="25" t="e">
        <f t="shared" si="21"/>
        <v>#N/A</v>
      </c>
      <c r="W87" s="25" t="e">
        <f t="shared" si="22"/>
        <v>#N/A</v>
      </c>
      <c r="X87" s="29" t="e">
        <f t="shared" si="23"/>
        <v>#N/A</v>
      </c>
    </row>
    <row r="88" spans="2:24" ht="20.25">
      <c r="B88" s="20">
        <v>84</v>
      </c>
      <c r="C88" s="58" t="e">
        <f>_xlfn.XLOOKUP(D:D,'DATA รถถึงเส้นรอง KKN'!A:A,'DATA รถถึงเส้นรอง KKN'!B:B)</f>
        <v>#N/A</v>
      </c>
      <c r="D88" s="32" t="e">
        <f>_xlfn.XLOOKUP(E88,'DATA รถถึงเส้นรอง KKN'!C:C,'DATA รถถึงเส้นรอง KKN'!A:A)</f>
        <v>#N/A</v>
      </c>
      <c r="E88" s="32" cm="1">
        <f t="array" ref="E88">INDEX('DATA รถถึงเส้นรอง KKN'!C:C,ROW()-3)</f>
        <v>0</v>
      </c>
      <c r="F88" s="22" t="e">
        <f>_xlfn.XLOOKUP(E88,'DATA รถถึงเส้นรอง KKN'!C:C,'DATA รถถึงเส้นรอง KKN'!O:O)</f>
        <v>#N/A</v>
      </c>
      <c r="G88" s="22" t="e">
        <f>_xlfn.XLOOKUP(E88,'DATA รถถึงเส้นรอง KKN'!C:C,'DATA รถถึงเส้นรอง KKN'!L:L)</f>
        <v>#N/A</v>
      </c>
      <c r="H88" s="22" t="e">
        <f>_xlfn.XLOOKUP(E88,#REF!,#REF!)</f>
        <v>#REF!</v>
      </c>
      <c r="I88" s="22" t="e">
        <f>_xlfn.XLOOKUP(E88,#REF!,#REF!)</f>
        <v>#REF!</v>
      </c>
      <c r="J88" s="23" t="e">
        <f>_xlfn.XLOOKUP(E88,'DATA รถถึงเส้นรอง KKN'!C:C,'DATA รถถึงเส้นรอง KKN'!AP:AP)</f>
        <v>#N/A</v>
      </c>
      <c r="K88" s="24" t="e">
        <f>_xlfn.XLOOKUP(E88,'DATA รถถึงเส้นรอง KKN'!C:C,'DATA รถถึงเส้นรอง KKN'!AV:AV)</f>
        <v>#N/A</v>
      </c>
      <c r="L88" s="25" t="e">
        <f t="shared" si="19"/>
        <v>#N/A</v>
      </c>
      <c r="M88" s="24" t="e">
        <f>_xlfn.XLOOKUP(E88,'DATA รถถึงเส้นรอง KKN'!C:C,'DATA รถถึงเส้นรอง KKN'!AW:AW)</f>
        <v>#N/A</v>
      </c>
      <c r="N88" s="24" t="e">
        <f>_xlfn.XLOOKUP(E88,'DATA รถถึงเส้นรอง KKN'!C:C,'DATA รถถึงเส้นรอง KKN'!AY:AY)</f>
        <v>#N/A</v>
      </c>
      <c r="O88" s="26" t="e">
        <f t="shared" si="20"/>
        <v>#N/A</v>
      </c>
      <c r="P88" s="24" t="e">
        <f>_xlfn.XLOOKUP(E88,'DATA รถถึงเส้นรอง KKN'!C:C,'DATA รถถึงเส้นรอง KKN'!AZ:AZ)</f>
        <v>#N/A</v>
      </c>
      <c r="Q88" s="60" t="str">
        <f t="shared" si="14"/>
        <v/>
      </c>
      <c r="R88" s="27"/>
      <c r="S88" s="28"/>
      <c r="T88" s="59" t="e">
        <f t="shared" si="15"/>
        <v>#N/A</v>
      </c>
      <c r="V88" s="25" t="e">
        <f t="shared" si="21"/>
        <v>#N/A</v>
      </c>
      <c r="W88" s="25" t="e">
        <f t="shared" si="22"/>
        <v>#N/A</v>
      </c>
      <c r="X88" s="29" t="e">
        <f t="shared" si="23"/>
        <v>#N/A</v>
      </c>
    </row>
    <row r="89" spans="2:24" ht="20.25">
      <c r="B89" s="20">
        <v>85</v>
      </c>
      <c r="C89" s="58" t="e">
        <f>_xlfn.XLOOKUP(D:D,'DATA รถถึงเส้นรอง KKN'!A:A,'DATA รถถึงเส้นรอง KKN'!B:B)</f>
        <v>#N/A</v>
      </c>
      <c r="D89" s="32" t="e">
        <f>_xlfn.XLOOKUP(E89,'DATA รถถึงเส้นรอง KKN'!C:C,'DATA รถถึงเส้นรอง KKN'!A:A)</f>
        <v>#N/A</v>
      </c>
      <c r="E89" s="32" cm="1">
        <f t="array" ref="E89">INDEX('DATA รถถึงเส้นรอง KKN'!C:C,ROW()-3)</f>
        <v>0</v>
      </c>
      <c r="F89" s="22" t="e">
        <f>_xlfn.XLOOKUP(E89,'DATA รถถึงเส้นรอง KKN'!C:C,'DATA รถถึงเส้นรอง KKN'!O:O)</f>
        <v>#N/A</v>
      </c>
      <c r="G89" s="22" t="e">
        <f>_xlfn.XLOOKUP(E89,'DATA รถถึงเส้นรอง KKN'!C:C,'DATA รถถึงเส้นรอง KKN'!L:L)</f>
        <v>#N/A</v>
      </c>
      <c r="H89" s="22" t="e">
        <f>_xlfn.XLOOKUP(E89,#REF!,#REF!)</f>
        <v>#REF!</v>
      </c>
      <c r="I89" s="22" t="e">
        <f>_xlfn.XLOOKUP(E89,#REF!,#REF!)</f>
        <v>#REF!</v>
      </c>
      <c r="J89" s="23" t="e">
        <f>_xlfn.XLOOKUP(E89,'DATA รถถึงเส้นรอง KKN'!C:C,'DATA รถถึงเส้นรอง KKN'!AP:AP)</f>
        <v>#N/A</v>
      </c>
      <c r="K89" s="24" t="e">
        <f>_xlfn.XLOOKUP(E89,'DATA รถถึงเส้นรอง KKN'!C:C,'DATA รถถึงเส้นรอง KKN'!AV:AV)</f>
        <v>#N/A</v>
      </c>
      <c r="L89" s="25" t="e">
        <f t="shared" ref="L89:L101" si="24">M89+TIME(2,0,0)</f>
        <v>#N/A</v>
      </c>
      <c r="M89" s="24" t="e">
        <f>_xlfn.XLOOKUP(E89,'DATA รถถึงเส้นรอง KKN'!C:C,'DATA รถถึงเส้นรอง KKN'!AW:AW)</f>
        <v>#N/A</v>
      </c>
      <c r="N89" s="24" t="e">
        <f>_xlfn.XLOOKUP(E89,'DATA รถถึงเส้นรอง KKN'!C:C,'DATA รถถึงเส้นรอง KKN'!AY:AY)</f>
        <v>#N/A</v>
      </c>
      <c r="O89" s="26" t="e">
        <f t="shared" si="20"/>
        <v>#N/A</v>
      </c>
      <c r="P89" s="24" t="e">
        <f>_xlfn.XLOOKUP(E89,'DATA รถถึงเส้นรอง KKN'!C:C,'DATA รถถึงเส้นรอง KKN'!AZ:AZ)</f>
        <v>#N/A</v>
      </c>
      <c r="Q89" s="60" t="str">
        <f t="shared" si="14"/>
        <v/>
      </c>
      <c r="R89" s="27"/>
      <c r="S89" s="28"/>
      <c r="T89" s="59" t="e">
        <f t="shared" si="15"/>
        <v>#N/A</v>
      </c>
      <c r="V89" s="25" t="e">
        <f t="shared" si="21"/>
        <v>#N/A</v>
      </c>
      <c r="W89" s="25" t="e">
        <f t="shared" si="22"/>
        <v>#N/A</v>
      </c>
      <c r="X89" s="29" t="e">
        <f t="shared" si="23"/>
        <v>#N/A</v>
      </c>
    </row>
    <row r="90" spans="2:24" ht="20.25">
      <c r="B90" s="20">
        <v>86</v>
      </c>
      <c r="C90" s="58" t="e">
        <f>_xlfn.XLOOKUP(D:D,'DATA รถถึงเส้นรอง KKN'!A:A,'DATA รถถึงเส้นรอง KKN'!B:B)</f>
        <v>#N/A</v>
      </c>
      <c r="D90" s="32" t="e">
        <f>_xlfn.XLOOKUP(E90,'DATA รถถึงเส้นรอง KKN'!C:C,'DATA รถถึงเส้นรอง KKN'!A:A)</f>
        <v>#N/A</v>
      </c>
      <c r="E90" s="32" cm="1">
        <f t="array" ref="E90">INDEX('DATA รถถึงเส้นรอง KKN'!C:C,ROW()-3)</f>
        <v>0</v>
      </c>
      <c r="F90" s="22" t="e">
        <f>_xlfn.XLOOKUP(E90,'DATA รถถึงเส้นรอง KKN'!C:C,'DATA รถถึงเส้นรอง KKN'!O:O)</f>
        <v>#N/A</v>
      </c>
      <c r="G90" s="22" t="e">
        <f>_xlfn.XLOOKUP(E90,'DATA รถถึงเส้นรอง KKN'!C:C,'DATA รถถึงเส้นรอง KKN'!L:L)</f>
        <v>#N/A</v>
      </c>
      <c r="H90" s="22" t="e">
        <f>_xlfn.XLOOKUP(E90,#REF!,#REF!)</f>
        <v>#REF!</v>
      </c>
      <c r="I90" s="22" t="e">
        <f>_xlfn.XLOOKUP(E90,#REF!,#REF!)</f>
        <v>#REF!</v>
      </c>
      <c r="J90" s="23" t="e">
        <f>_xlfn.XLOOKUP(E90,'DATA รถถึงเส้นรอง KKN'!C:C,'DATA รถถึงเส้นรอง KKN'!AP:AP)</f>
        <v>#N/A</v>
      </c>
      <c r="K90" s="24" t="e">
        <f>_xlfn.XLOOKUP(E90,'DATA รถถึงเส้นรอง KKN'!C:C,'DATA รถถึงเส้นรอง KKN'!AV:AV)</f>
        <v>#N/A</v>
      </c>
      <c r="L90" s="25" t="e">
        <f t="shared" si="24"/>
        <v>#N/A</v>
      </c>
      <c r="M90" s="24" t="e">
        <f>_xlfn.XLOOKUP(E90,'DATA รถถึงเส้นรอง KKN'!C:C,'DATA รถถึงเส้นรอง KKN'!AW:AW)</f>
        <v>#N/A</v>
      </c>
      <c r="N90" s="24" t="e">
        <f>_xlfn.XLOOKUP(E90,'DATA รถถึงเส้นรอง KKN'!C:C,'DATA รถถึงเส้นรอง KKN'!AY:AY)</f>
        <v>#N/A</v>
      </c>
      <c r="O90" s="26" t="e">
        <f t="shared" si="20"/>
        <v>#N/A</v>
      </c>
      <c r="P90" s="24" t="e">
        <f>_xlfn.XLOOKUP(E90,'DATA รถถึงเส้นรอง KKN'!C:C,'DATA รถถึงเส้นรอง KKN'!AZ:AZ)</f>
        <v>#N/A</v>
      </c>
      <c r="Q90" s="60" t="str">
        <f t="shared" si="14"/>
        <v/>
      </c>
      <c r="R90" s="27"/>
      <c r="S90" s="28"/>
      <c r="T90" s="59" t="e">
        <f t="shared" si="15"/>
        <v>#N/A</v>
      </c>
      <c r="V90" s="25" t="e">
        <f t="shared" si="21"/>
        <v>#N/A</v>
      </c>
      <c r="W90" s="25" t="e">
        <f t="shared" si="22"/>
        <v>#N/A</v>
      </c>
      <c r="X90" s="29" t="e">
        <f t="shared" si="23"/>
        <v>#N/A</v>
      </c>
    </row>
    <row r="91" spans="2:24" ht="20.25">
      <c r="B91" s="20">
        <v>87</v>
      </c>
      <c r="C91" s="58" t="e">
        <f>_xlfn.XLOOKUP(D:D,'DATA รถถึงเส้นรอง KKN'!A:A,'DATA รถถึงเส้นรอง KKN'!B:B)</f>
        <v>#N/A</v>
      </c>
      <c r="D91" s="32" t="e">
        <f>_xlfn.XLOOKUP(E91,'DATA รถถึงเส้นรอง KKN'!C:C,'DATA รถถึงเส้นรอง KKN'!A:A)</f>
        <v>#N/A</v>
      </c>
      <c r="E91" s="32" cm="1">
        <f t="array" ref="E91">INDEX('DATA รถถึงเส้นรอง KKN'!C:C,ROW()-3)</f>
        <v>0</v>
      </c>
      <c r="F91" s="22" t="e">
        <f>_xlfn.XLOOKUP(E91,'DATA รถถึงเส้นรอง KKN'!C:C,'DATA รถถึงเส้นรอง KKN'!O:O)</f>
        <v>#N/A</v>
      </c>
      <c r="G91" s="22" t="e">
        <f>_xlfn.XLOOKUP(E91,'DATA รถถึงเส้นรอง KKN'!C:C,'DATA รถถึงเส้นรอง KKN'!L:L)</f>
        <v>#N/A</v>
      </c>
      <c r="H91" s="22" t="e">
        <f>_xlfn.XLOOKUP(E91,#REF!,#REF!)</f>
        <v>#REF!</v>
      </c>
      <c r="I91" s="22" t="e">
        <f>_xlfn.XLOOKUP(E91,#REF!,#REF!)</f>
        <v>#REF!</v>
      </c>
      <c r="J91" s="23" t="e">
        <f>_xlfn.XLOOKUP(E91,'DATA รถถึงเส้นรอง KKN'!C:C,'DATA รถถึงเส้นรอง KKN'!AP:AP)</f>
        <v>#N/A</v>
      </c>
      <c r="K91" s="24" t="e">
        <f>_xlfn.XLOOKUP(E91,'DATA รถถึงเส้นรอง KKN'!C:C,'DATA รถถึงเส้นรอง KKN'!AV:AV)</f>
        <v>#N/A</v>
      </c>
      <c r="L91" s="25" t="e">
        <f t="shared" si="24"/>
        <v>#N/A</v>
      </c>
      <c r="M91" s="24" t="e">
        <f>_xlfn.XLOOKUP(E91,'DATA รถถึงเส้นรอง KKN'!C:C,'DATA รถถึงเส้นรอง KKN'!AW:AW)</f>
        <v>#N/A</v>
      </c>
      <c r="N91" s="24" t="e">
        <f>_xlfn.XLOOKUP(E91,'DATA รถถึงเส้นรอง KKN'!C:C,'DATA รถถึงเส้นรอง KKN'!AY:AY)</f>
        <v>#N/A</v>
      </c>
      <c r="O91" s="26" t="e">
        <f t="shared" si="20"/>
        <v>#N/A</v>
      </c>
      <c r="P91" s="24" t="e">
        <f>_xlfn.XLOOKUP(E91,'DATA รถถึงเส้นรอง KKN'!C:C,'DATA รถถึงเส้นรอง KKN'!AZ:AZ)</f>
        <v>#N/A</v>
      </c>
      <c r="Q91" s="60" t="str">
        <f t="shared" si="14"/>
        <v/>
      </c>
      <c r="R91" s="27"/>
      <c r="S91" s="28"/>
      <c r="T91" s="59" t="e">
        <f t="shared" si="15"/>
        <v>#N/A</v>
      </c>
      <c r="V91" s="25" t="e">
        <f t="shared" si="21"/>
        <v>#N/A</v>
      </c>
      <c r="W91" s="25" t="e">
        <f t="shared" si="22"/>
        <v>#N/A</v>
      </c>
      <c r="X91" s="29" t="e">
        <f t="shared" si="23"/>
        <v>#N/A</v>
      </c>
    </row>
    <row r="92" spans="2:24" ht="20.25">
      <c r="B92" s="20">
        <v>88</v>
      </c>
      <c r="C92" s="58" t="e">
        <f>_xlfn.XLOOKUP(D:D,'DATA รถถึงเส้นรอง KKN'!A:A,'DATA รถถึงเส้นรอง KKN'!B:B)</f>
        <v>#N/A</v>
      </c>
      <c r="D92" s="32" t="e">
        <f>_xlfn.XLOOKUP(E92,'DATA รถถึงเส้นรอง KKN'!C:C,'DATA รถถึงเส้นรอง KKN'!A:A)</f>
        <v>#N/A</v>
      </c>
      <c r="E92" s="32" cm="1">
        <f t="array" ref="E92">INDEX('DATA รถถึงเส้นรอง KKN'!C:C,ROW()-3)</f>
        <v>0</v>
      </c>
      <c r="F92" s="22" t="e">
        <f>_xlfn.XLOOKUP(E92,'DATA รถถึงเส้นรอง KKN'!C:C,'DATA รถถึงเส้นรอง KKN'!O:O)</f>
        <v>#N/A</v>
      </c>
      <c r="G92" s="22" t="e">
        <f>_xlfn.XLOOKUP(E92,'DATA รถถึงเส้นรอง KKN'!C:C,'DATA รถถึงเส้นรอง KKN'!L:L)</f>
        <v>#N/A</v>
      </c>
      <c r="H92" s="22" t="e">
        <f>_xlfn.XLOOKUP(E92,#REF!,#REF!)</f>
        <v>#REF!</v>
      </c>
      <c r="I92" s="22" t="e">
        <f>_xlfn.XLOOKUP(E92,#REF!,#REF!)</f>
        <v>#REF!</v>
      </c>
      <c r="J92" s="23" t="e">
        <f>_xlfn.XLOOKUP(E92,'DATA รถถึงเส้นรอง KKN'!C:C,'DATA รถถึงเส้นรอง KKN'!AP:AP)</f>
        <v>#N/A</v>
      </c>
      <c r="K92" s="24" t="e">
        <f>_xlfn.XLOOKUP(E92,'DATA รถถึงเส้นรอง KKN'!C:C,'DATA รถถึงเส้นรอง KKN'!AV:AV)</f>
        <v>#N/A</v>
      </c>
      <c r="L92" s="25" t="e">
        <f t="shared" si="24"/>
        <v>#N/A</v>
      </c>
      <c r="M92" s="24" t="e">
        <f>_xlfn.XLOOKUP(E92,'DATA รถถึงเส้นรอง KKN'!C:C,'DATA รถถึงเส้นรอง KKN'!AW:AW)</f>
        <v>#N/A</v>
      </c>
      <c r="N92" s="24" t="e">
        <f>_xlfn.XLOOKUP(E92,'DATA รถถึงเส้นรอง KKN'!C:C,'DATA รถถึงเส้นรอง KKN'!AY:AY)</f>
        <v>#N/A</v>
      </c>
      <c r="O92" s="26" t="e">
        <f t="shared" si="20"/>
        <v>#N/A</v>
      </c>
      <c r="P92" s="24" t="e">
        <f>_xlfn.XLOOKUP(E92,'DATA รถถึงเส้นรอง KKN'!C:C,'DATA รถถึงเส้นรอง KKN'!AZ:AZ)</f>
        <v>#N/A</v>
      </c>
      <c r="Q92" s="60" t="str">
        <f t="shared" si="14"/>
        <v/>
      </c>
      <c r="R92" s="27"/>
      <c r="S92" s="28"/>
      <c r="T92" s="59" t="e">
        <f t="shared" si="15"/>
        <v>#N/A</v>
      </c>
      <c r="V92" s="25" t="e">
        <f t="shared" si="21"/>
        <v>#N/A</v>
      </c>
      <c r="W92" s="25" t="e">
        <f t="shared" si="22"/>
        <v>#N/A</v>
      </c>
      <c r="X92" s="29" t="e">
        <f t="shared" si="23"/>
        <v>#N/A</v>
      </c>
    </row>
    <row r="93" spans="2:24" ht="20.25">
      <c r="B93" s="20">
        <v>89</v>
      </c>
      <c r="C93" s="58" t="e">
        <f>_xlfn.XLOOKUP(D:D,'DATA รถถึงเส้นรอง KKN'!A:A,'DATA รถถึงเส้นรอง KKN'!B:B)</f>
        <v>#N/A</v>
      </c>
      <c r="D93" s="32" t="e">
        <f>_xlfn.XLOOKUP(E93,'DATA รถถึงเส้นรอง KKN'!C:C,'DATA รถถึงเส้นรอง KKN'!A:A)</f>
        <v>#N/A</v>
      </c>
      <c r="E93" s="32" cm="1">
        <f t="array" ref="E93">INDEX('DATA รถถึงเส้นรอง KKN'!C:C,ROW()-3)</f>
        <v>0</v>
      </c>
      <c r="F93" s="22" t="e">
        <f>_xlfn.XLOOKUP(E93,'DATA รถถึงเส้นรอง KKN'!C:C,'DATA รถถึงเส้นรอง KKN'!O:O)</f>
        <v>#N/A</v>
      </c>
      <c r="G93" s="22" t="e">
        <f>_xlfn.XLOOKUP(E93,'DATA รถถึงเส้นรอง KKN'!C:C,'DATA รถถึงเส้นรอง KKN'!L:L)</f>
        <v>#N/A</v>
      </c>
      <c r="H93" s="22" t="e">
        <f>_xlfn.XLOOKUP(E93,#REF!,#REF!)</f>
        <v>#REF!</v>
      </c>
      <c r="I93" s="22" t="e">
        <f>_xlfn.XLOOKUP(E93,#REF!,#REF!)</f>
        <v>#REF!</v>
      </c>
      <c r="J93" s="23" t="e">
        <f>_xlfn.XLOOKUP(E93,'DATA รถถึงเส้นรอง KKN'!C:C,'DATA รถถึงเส้นรอง KKN'!AP:AP)</f>
        <v>#N/A</v>
      </c>
      <c r="K93" s="24" t="e">
        <f>_xlfn.XLOOKUP(E93,'DATA รถถึงเส้นรอง KKN'!C:C,'DATA รถถึงเส้นรอง KKN'!AV:AV)</f>
        <v>#N/A</v>
      </c>
      <c r="L93" s="25" t="e">
        <f t="shared" si="24"/>
        <v>#N/A</v>
      </c>
      <c r="M93" s="24" t="e">
        <f>_xlfn.XLOOKUP(E93,'DATA รถถึงเส้นรอง KKN'!C:C,'DATA รถถึงเส้นรอง KKN'!AW:AW)</f>
        <v>#N/A</v>
      </c>
      <c r="N93" s="24" t="e">
        <f>_xlfn.XLOOKUP(E93,'DATA รถถึงเส้นรอง KKN'!C:C,'DATA รถถึงเส้นรอง KKN'!AY:AY)</f>
        <v>#N/A</v>
      </c>
      <c r="O93" s="26" t="e">
        <f t="shared" si="20"/>
        <v>#N/A</v>
      </c>
      <c r="P93" s="24" t="e">
        <f>_xlfn.XLOOKUP(E93,'DATA รถถึงเส้นรอง KKN'!C:C,'DATA รถถึงเส้นรอง KKN'!AZ:AZ)</f>
        <v>#N/A</v>
      </c>
      <c r="Q93" s="60" t="str">
        <f t="shared" si="14"/>
        <v/>
      </c>
      <c r="R93" s="27"/>
      <c r="S93" s="28"/>
      <c r="T93" s="59" t="e">
        <f t="shared" si="15"/>
        <v>#N/A</v>
      </c>
      <c r="V93" s="25" t="e">
        <f t="shared" si="21"/>
        <v>#N/A</v>
      </c>
      <c r="W93" s="25" t="e">
        <f t="shared" si="22"/>
        <v>#N/A</v>
      </c>
      <c r="X93" s="29" t="e">
        <f t="shared" si="23"/>
        <v>#N/A</v>
      </c>
    </row>
    <row r="94" spans="2:24" ht="20.25">
      <c r="B94" s="20">
        <v>90</v>
      </c>
      <c r="C94" s="58" t="e">
        <f>_xlfn.XLOOKUP(D:D,'DATA รถถึงเส้นรอง KKN'!A:A,'DATA รถถึงเส้นรอง KKN'!B:B)</f>
        <v>#N/A</v>
      </c>
      <c r="D94" s="32" t="e">
        <f>_xlfn.XLOOKUP(E94,'DATA รถถึงเส้นรอง KKN'!C:C,'DATA รถถึงเส้นรอง KKN'!A:A)</f>
        <v>#N/A</v>
      </c>
      <c r="E94" s="32" cm="1">
        <f t="array" ref="E94">INDEX('DATA รถถึงเส้นรอง KKN'!C:C,ROW()-3)</f>
        <v>0</v>
      </c>
      <c r="F94" s="22" t="e">
        <f>_xlfn.XLOOKUP(E94,'DATA รถถึงเส้นรอง KKN'!C:C,'DATA รถถึงเส้นรอง KKN'!O:O)</f>
        <v>#N/A</v>
      </c>
      <c r="G94" s="22" t="e">
        <f>_xlfn.XLOOKUP(E94,'DATA รถถึงเส้นรอง KKN'!C:C,'DATA รถถึงเส้นรอง KKN'!L:L)</f>
        <v>#N/A</v>
      </c>
      <c r="H94" s="22" t="e">
        <f>_xlfn.XLOOKUP(E94,#REF!,#REF!)</f>
        <v>#REF!</v>
      </c>
      <c r="I94" s="22" t="e">
        <f>_xlfn.XLOOKUP(E94,#REF!,#REF!)</f>
        <v>#REF!</v>
      </c>
      <c r="J94" s="23" t="e">
        <f>_xlfn.XLOOKUP(E94,'DATA รถถึงเส้นรอง KKN'!C:C,'DATA รถถึงเส้นรอง KKN'!AP:AP)</f>
        <v>#N/A</v>
      </c>
      <c r="K94" s="24" t="e">
        <f>_xlfn.XLOOKUP(E94,'DATA รถถึงเส้นรอง KKN'!C:C,'DATA รถถึงเส้นรอง KKN'!AV:AV)</f>
        <v>#N/A</v>
      </c>
      <c r="L94" s="25" t="e">
        <f t="shared" si="24"/>
        <v>#N/A</v>
      </c>
      <c r="M94" s="24" t="e">
        <f>_xlfn.XLOOKUP(E94,'DATA รถถึงเส้นรอง KKN'!C:C,'DATA รถถึงเส้นรอง KKN'!AW:AW)</f>
        <v>#N/A</v>
      </c>
      <c r="N94" s="24" t="e">
        <f>_xlfn.XLOOKUP(E94,'DATA รถถึงเส้นรอง KKN'!C:C,'DATA รถถึงเส้นรอง KKN'!AY:AY)</f>
        <v>#N/A</v>
      </c>
      <c r="O94" s="26" t="e">
        <f t="shared" si="20"/>
        <v>#N/A</v>
      </c>
      <c r="P94" s="24" t="e">
        <f>_xlfn.XLOOKUP(E94,'DATA รถถึงเส้นรอง KKN'!C:C,'DATA รถถึงเส้นรอง KKN'!AZ:AZ)</f>
        <v>#N/A</v>
      </c>
      <c r="Q94" s="60" t="str">
        <f t="shared" si="14"/>
        <v/>
      </c>
      <c r="R94" s="27"/>
      <c r="S94" s="28"/>
      <c r="T94" s="59" t="e">
        <f t="shared" si="15"/>
        <v>#N/A</v>
      </c>
      <c r="V94" s="25" t="e">
        <f t="shared" si="21"/>
        <v>#N/A</v>
      </c>
      <c r="W94" s="25" t="e">
        <f t="shared" si="22"/>
        <v>#N/A</v>
      </c>
      <c r="X94" s="29" t="e">
        <f t="shared" si="23"/>
        <v>#N/A</v>
      </c>
    </row>
    <row r="95" spans="2:24" ht="20.25">
      <c r="B95" s="20">
        <v>91</v>
      </c>
      <c r="C95" s="58" t="e">
        <f>_xlfn.XLOOKUP(D:D,'DATA รถถึงเส้นรอง KKN'!A:A,'DATA รถถึงเส้นรอง KKN'!B:B)</f>
        <v>#N/A</v>
      </c>
      <c r="D95" s="32" t="e">
        <f>_xlfn.XLOOKUP(E95,'DATA รถถึงเส้นรอง KKN'!C:C,'DATA รถถึงเส้นรอง KKN'!A:A)</f>
        <v>#N/A</v>
      </c>
      <c r="E95" s="32" cm="1">
        <f t="array" ref="E95">INDEX('DATA รถถึงเส้นรอง KKN'!C:C,ROW()-3)</f>
        <v>0</v>
      </c>
      <c r="F95" s="22" t="e">
        <f>_xlfn.XLOOKUP(E95,'DATA รถถึงเส้นรอง KKN'!C:C,'DATA รถถึงเส้นรอง KKN'!O:O)</f>
        <v>#N/A</v>
      </c>
      <c r="G95" s="22" t="e">
        <f>_xlfn.XLOOKUP(E95,'DATA รถถึงเส้นรอง KKN'!C:C,'DATA รถถึงเส้นรอง KKN'!L:L)</f>
        <v>#N/A</v>
      </c>
      <c r="H95" s="22" t="e">
        <f>_xlfn.XLOOKUP(E95,#REF!,#REF!)</f>
        <v>#REF!</v>
      </c>
      <c r="I95" s="22" t="e">
        <f>_xlfn.XLOOKUP(E95,#REF!,#REF!)</f>
        <v>#REF!</v>
      </c>
      <c r="J95" s="23" t="e">
        <f>_xlfn.XLOOKUP(E95,'DATA รถถึงเส้นรอง KKN'!C:C,'DATA รถถึงเส้นรอง KKN'!AP:AP)</f>
        <v>#N/A</v>
      </c>
      <c r="K95" s="24" t="e">
        <f>_xlfn.XLOOKUP(E95,'DATA รถถึงเส้นรอง KKN'!C:C,'DATA รถถึงเส้นรอง KKN'!AV:AV)</f>
        <v>#N/A</v>
      </c>
      <c r="L95" s="25" t="e">
        <f t="shared" si="24"/>
        <v>#N/A</v>
      </c>
      <c r="M95" s="24" t="e">
        <f>_xlfn.XLOOKUP(E95,'DATA รถถึงเส้นรอง KKN'!C:C,'DATA รถถึงเส้นรอง KKN'!AW:AW)</f>
        <v>#N/A</v>
      </c>
      <c r="N95" s="24" t="e">
        <f>_xlfn.XLOOKUP(E95,'DATA รถถึงเส้นรอง KKN'!C:C,'DATA รถถึงเส้นรอง KKN'!AY:AY)</f>
        <v>#N/A</v>
      </c>
      <c r="O95" s="26" t="e">
        <f t="shared" si="20"/>
        <v>#N/A</v>
      </c>
      <c r="P95" s="24" t="e">
        <f>_xlfn.XLOOKUP(E95,'DATA รถถึงเส้นรอง KKN'!C:C,'DATA รถถึงเส้นรอง KKN'!AZ:AZ)</f>
        <v>#N/A</v>
      </c>
      <c r="Q95" s="60" t="str">
        <f t="shared" si="14"/>
        <v/>
      </c>
      <c r="R95" s="27"/>
      <c r="S95" s="28"/>
      <c r="T95" s="59" t="e">
        <f t="shared" si="15"/>
        <v>#N/A</v>
      </c>
      <c r="V95" s="25" t="e">
        <f t="shared" si="21"/>
        <v>#N/A</v>
      </c>
      <c r="W95" s="25" t="e">
        <f t="shared" si="22"/>
        <v>#N/A</v>
      </c>
      <c r="X95" s="29" t="e">
        <f t="shared" si="23"/>
        <v>#N/A</v>
      </c>
    </row>
    <row r="96" spans="2:24" ht="20.25">
      <c r="B96" s="20">
        <v>92</v>
      </c>
      <c r="C96" s="58" t="e">
        <f>_xlfn.XLOOKUP(D:D,'DATA รถถึงเส้นรอง KKN'!A:A,'DATA รถถึงเส้นรอง KKN'!B:B)</f>
        <v>#N/A</v>
      </c>
      <c r="D96" s="32" t="e">
        <f>_xlfn.XLOOKUP(E96,'DATA รถถึงเส้นรอง KKN'!C:C,'DATA รถถึงเส้นรอง KKN'!A:A)</f>
        <v>#N/A</v>
      </c>
      <c r="E96" s="32" cm="1">
        <f t="array" ref="E96">INDEX('DATA รถถึงเส้นรอง KKN'!C:C,ROW()-3)</f>
        <v>0</v>
      </c>
      <c r="F96" s="22" t="e">
        <f>_xlfn.XLOOKUP(E96,'DATA รถถึงเส้นรอง KKN'!C:C,'DATA รถถึงเส้นรอง KKN'!O:O)</f>
        <v>#N/A</v>
      </c>
      <c r="G96" s="22" t="e">
        <f>_xlfn.XLOOKUP(E96,'DATA รถถึงเส้นรอง KKN'!C:C,'DATA รถถึงเส้นรอง KKN'!L:L)</f>
        <v>#N/A</v>
      </c>
      <c r="H96" s="22" t="e">
        <f>_xlfn.XLOOKUP(E96,#REF!,#REF!)</f>
        <v>#REF!</v>
      </c>
      <c r="I96" s="22" t="e">
        <f>_xlfn.XLOOKUP(E96,#REF!,#REF!)</f>
        <v>#REF!</v>
      </c>
      <c r="J96" s="23" t="e">
        <f>_xlfn.XLOOKUP(E96,'DATA รถถึงเส้นรอง KKN'!C:C,'DATA รถถึงเส้นรอง KKN'!AP:AP)</f>
        <v>#N/A</v>
      </c>
      <c r="K96" s="24" t="e">
        <f>_xlfn.XLOOKUP(E96,'DATA รถถึงเส้นรอง KKN'!C:C,'DATA รถถึงเส้นรอง KKN'!AV:AV)</f>
        <v>#N/A</v>
      </c>
      <c r="L96" s="25" t="e">
        <f t="shared" si="24"/>
        <v>#N/A</v>
      </c>
      <c r="M96" s="24" t="e">
        <f>_xlfn.XLOOKUP(E96,'DATA รถถึงเส้นรอง KKN'!C:C,'DATA รถถึงเส้นรอง KKN'!AW:AW)</f>
        <v>#N/A</v>
      </c>
      <c r="N96" s="24" t="e">
        <f>_xlfn.XLOOKUP(E96,'DATA รถถึงเส้นรอง KKN'!C:C,'DATA รถถึงเส้นรอง KKN'!AY:AY)</f>
        <v>#N/A</v>
      </c>
      <c r="O96" s="26" t="e">
        <f t="shared" si="20"/>
        <v>#N/A</v>
      </c>
      <c r="P96" s="24" t="e">
        <f>_xlfn.XLOOKUP(E96,'DATA รถถึงเส้นรอง KKN'!C:C,'DATA รถถึงเส้นรอง KKN'!AZ:AZ)</f>
        <v>#N/A</v>
      </c>
      <c r="Q96" s="60" t="str">
        <f t="shared" si="14"/>
        <v/>
      </c>
      <c r="R96" s="27"/>
      <c r="S96" s="28"/>
      <c r="T96" s="59" t="e">
        <f t="shared" si="15"/>
        <v>#N/A</v>
      </c>
      <c r="V96" s="25" t="e">
        <f t="shared" si="21"/>
        <v>#N/A</v>
      </c>
      <c r="W96" s="25" t="e">
        <f t="shared" si="22"/>
        <v>#N/A</v>
      </c>
      <c r="X96" s="29" t="e">
        <f t="shared" si="23"/>
        <v>#N/A</v>
      </c>
    </row>
    <row r="97" spans="2:24" ht="20.25">
      <c r="B97" s="20">
        <v>93</v>
      </c>
      <c r="C97" s="58" t="e">
        <f>_xlfn.XLOOKUP(D:D,'DATA รถถึงเส้นรอง KKN'!A:A,'DATA รถถึงเส้นรอง KKN'!B:B)</f>
        <v>#N/A</v>
      </c>
      <c r="D97" s="32" t="e">
        <f>_xlfn.XLOOKUP(E97,'DATA รถถึงเส้นรอง KKN'!C:C,'DATA รถถึงเส้นรอง KKN'!A:A)</f>
        <v>#N/A</v>
      </c>
      <c r="E97" s="32" cm="1">
        <f t="array" ref="E97">INDEX('DATA รถถึงเส้นรอง KKN'!C:C,ROW()-3)</f>
        <v>0</v>
      </c>
      <c r="F97" s="22" t="e">
        <f>_xlfn.XLOOKUP(E97,'DATA รถถึงเส้นรอง KKN'!C:C,'DATA รถถึงเส้นรอง KKN'!O:O)</f>
        <v>#N/A</v>
      </c>
      <c r="G97" s="22" t="e">
        <f>_xlfn.XLOOKUP(E97,'DATA รถถึงเส้นรอง KKN'!C:C,'DATA รถถึงเส้นรอง KKN'!L:L)</f>
        <v>#N/A</v>
      </c>
      <c r="H97" s="22" t="e">
        <f>_xlfn.XLOOKUP(E97,#REF!,#REF!)</f>
        <v>#REF!</v>
      </c>
      <c r="I97" s="22" t="e">
        <f>_xlfn.XLOOKUP(E97,#REF!,#REF!)</f>
        <v>#REF!</v>
      </c>
      <c r="J97" s="23" t="e">
        <f>_xlfn.XLOOKUP(E97,'DATA รถถึงเส้นรอง KKN'!C:C,'DATA รถถึงเส้นรอง KKN'!AP:AP)</f>
        <v>#N/A</v>
      </c>
      <c r="K97" s="24" t="e">
        <f>_xlfn.XLOOKUP(E97,'DATA รถถึงเส้นรอง KKN'!C:C,'DATA รถถึงเส้นรอง KKN'!AV:AV)</f>
        <v>#N/A</v>
      </c>
      <c r="L97" s="25" t="e">
        <f t="shared" si="24"/>
        <v>#N/A</v>
      </c>
      <c r="M97" s="24" t="e">
        <f>_xlfn.XLOOKUP(E97,'DATA รถถึงเส้นรอง KKN'!C:C,'DATA รถถึงเส้นรอง KKN'!AW:AW)</f>
        <v>#N/A</v>
      </c>
      <c r="N97" s="24" t="e">
        <f>_xlfn.XLOOKUP(E97,'DATA รถถึงเส้นรอง KKN'!C:C,'DATA รถถึงเส้นรอง KKN'!AY:AY)</f>
        <v>#N/A</v>
      </c>
      <c r="O97" s="26" t="e">
        <f t="shared" si="20"/>
        <v>#N/A</v>
      </c>
      <c r="P97" s="24" t="e">
        <f>_xlfn.XLOOKUP(E97,'DATA รถถึงเส้นรอง KKN'!C:C,'DATA รถถึงเส้นรอง KKN'!AZ:AZ)</f>
        <v>#N/A</v>
      </c>
      <c r="Q97" s="60" t="str">
        <f t="shared" si="14"/>
        <v/>
      </c>
      <c r="R97" s="27"/>
      <c r="S97" s="28"/>
      <c r="T97" s="59" t="e">
        <f t="shared" si="15"/>
        <v>#N/A</v>
      </c>
      <c r="V97" s="25" t="e">
        <f t="shared" si="21"/>
        <v>#N/A</v>
      </c>
      <c r="W97" s="25" t="e">
        <f t="shared" si="22"/>
        <v>#N/A</v>
      </c>
      <c r="X97" s="29" t="e">
        <f t="shared" si="23"/>
        <v>#N/A</v>
      </c>
    </row>
    <row r="98" spans="2:24" ht="20.25">
      <c r="B98" s="20">
        <v>94</v>
      </c>
      <c r="C98" s="58" t="e">
        <f>_xlfn.XLOOKUP(D:D,'DATA รถถึงเส้นรอง KKN'!A:A,'DATA รถถึงเส้นรอง KKN'!B:B)</f>
        <v>#N/A</v>
      </c>
      <c r="D98" s="32" t="e">
        <f>_xlfn.XLOOKUP(E98,'DATA รถถึงเส้นรอง KKN'!C:C,'DATA รถถึงเส้นรอง KKN'!A:A)</f>
        <v>#N/A</v>
      </c>
      <c r="E98" s="32" cm="1">
        <f t="array" ref="E98">INDEX('DATA รถถึงเส้นรอง KKN'!C:C,ROW()-3)</f>
        <v>0</v>
      </c>
      <c r="F98" s="22" t="e">
        <f>_xlfn.XLOOKUP(E98,'DATA รถถึงเส้นรอง KKN'!C:C,'DATA รถถึงเส้นรอง KKN'!O:O)</f>
        <v>#N/A</v>
      </c>
      <c r="G98" s="22" t="e">
        <f>_xlfn.XLOOKUP(E98,'DATA รถถึงเส้นรอง KKN'!C:C,'DATA รถถึงเส้นรอง KKN'!L:L)</f>
        <v>#N/A</v>
      </c>
      <c r="H98" s="22" t="e">
        <f>_xlfn.XLOOKUP(E98,#REF!,#REF!)</f>
        <v>#REF!</v>
      </c>
      <c r="I98" s="22" t="e">
        <f>_xlfn.XLOOKUP(E98,#REF!,#REF!)</f>
        <v>#REF!</v>
      </c>
      <c r="J98" s="23" t="e">
        <f>_xlfn.XLOOKUP(E98,'DATA รถถึงเส้นรอง KKN'!C:C,'DATA รถถึงเส้นรอง KKN'!AP:AP)</f>
        <v>#N/A</v>
      </c>
      <c r="K98" s="24" t="e">
        <f>_xlfn.XLOOKUP(E98,'DATA รถถึงเส้นรอง KKN'!C:C,'DATA รถถึงเส้นรอง KKN'!AV:AV)</f>
        <v>#N/A</v>
      </c>
      <c r="L98" s="25" t="e">
        <f t="shared" si="24"/>
        <v>#N/A</v>
      </c>
      <c r="M98" s="24" t="e">
        <f>_xlfn.XLOOKUP(E98,'DATA รถถึงเส้นรอง KKN'!C:C,'DATA รถถึงเส้นรอง KKN'!AW:AW)</f>
        <v>#N/A</v>
      </c>
      <c r="N98" s="24" t="e">
        <f>_xlfn.XLOOKUP(E98,'DATA รถถึงเส้นรอง KKN'!C:C,'DATA รถถึงเส้นรอง KKN'!AY:AY)</f>
        <v>#N/A</v>
      </c>
      <c r="O98" s="26" t="e">
        <f t="shared" si="20"/>
        <v>#N/A</v>
      </c>
      <c r="P98" s="24" t="e">
        <f>_xlfn.XLOOKUP(E98,'DATA รถถึงเส้นรอง KKN'!C:C,'DATA รถถึงเส้นรอง KKN'!AZ:AZ)</f>
        <v>#N/A</v>
      </c>
      <c r="Q98" s="60" t="str">
        <f t="shared" si="14"/>
        <v/>
      </c>
      <c r="R98" s="27"/>
      <c r="S98" s="28"/>
      <c r="T98" s="59" t="e">
        <f t="shared" si="15"/>
        <v>#N/A</v>
      </c>
      <c r="V98" s="25" t="e">
        <f t="shared" si="21"/>
        <v>#N/A</v>
      </c>
      <c r="W98" s="25" t="e">
        <f t="shared" si="22"/>
        <v>#N/A</v>
      </c>
      <c r="X98" s="29" t="e">
        <f t="shared" si="23"/>
        <v>#N/A</v>
      </c>
    </row>
    <row r="99" spans="2:24" ht="20.25">
      <c r="B99" s="20">
        <v>95</v>
      </c>
      <c r="C99" s="58" t="e">
        <f>_xlfn.XLOOKUP(D:D,'DATA รถถึงเส้นรอง KKN'!A:A,'DATA รถถึงเส้นรอง KKN'!B:B)</f>
        <v>#N/A</v>
      </c>
      <c r="D99" s="32" t="e">
        <f>_xlfn.XLOOKUP(E99,'DATA รถถึงเส้นรอง KKN'!C:C,'DATA รถถึงเส้นรอง KKN'!A:A)</f>
        <v>#N/A</v>
      </c>
      <c r="E99" s="32" cm="1">
        <f t="array" ref="E99">INDEX('DATA รถถึงเส้นรอง KKN'!C:C,ROW()-3)</f>
        <v>0</v>
      </c>
      <c r="F99" s="22" t="e">
        <f>_xlfn.XLOOKUP(E99,'DATA รถถึงเส้นรอง KKN'!C:C,'DATA รถถึงเส้นรอง KKN'!O:O)</f>
        <v>#N/A</v>
      </c>
      <c r="G99" s="22" t="e">
        <f>_xlfn.XLOOKUP(E99,'DATA รถถึงเส้นรอง KKN'!C:C,'DATA รถถึงเส้นรอง KKN'!L:L)</f>
        <v>#N/A</v>
      </c>
      <c r="H99" s="22" t="e">
        <f>_xlfn.XLOOKUP(E99,#REF!,#REF!)</f>
        <v>#REF!</v>
      </c>
      <c r="I99" s="22" t="e">
        <f>_xlfn.XLOOKUP(E99,#REF!,#REF!)</f>
        <v>#REF!</v>
      </c>
      <c r="J99" s="23" t="e">
        <f>_xlfn.XLOOKUP(E99,'DATA รถถึงเส้นรอง KKN'!C:C,'DATA รถถึงเส้นรอง KKN'!AP:AP)</f>
        <v>#N/A</v>
      </c>
      <c r="K99" s="24" t="e">
        <f>_xlfn.XLOOKUP(E99,'DATA รถถึงเส้นรอง KKN'!C:C,'DATA รถถึงเส้นรอง KKN'!AV:AV)</f>
        <v>#N/A</v>
      </c>
      <c r="L99" s="25" t="e">
        <f t="shared" si="24"/>
        <v>#N/A</v>
      </c>
      <c r="M99" s="24" t="e">
        <f>_xlfn.XLOOKUP(E99,'DATA รถถึงเส้นรอง KKN'!C:C,'DATA รถถึงเส้นรอง KKN'!AW:AW)</f>
        <v>#N/A</v>
      </c>
      <c r="N99" s="24" t="e">
        <f>_xlfn.XLOOKUP(E99,'DATA รถถึงเส้นรอง KKN'!C:C,'DATA รถถึงเส้นรอง KKN'!AY:AY)</f>
        <v>#N/A</v>
      </c>
      <c r="O99" s="26" t="e">
        <f t="shared" si="20"/>
        <v>#N/A</v>
      </c>
      <c r="P99" s="24" t="e">
        <f>_xlfn.XLOOKUP(E99,'DATA รถถึงเส้นรอง KKN'!C:C,'DATA รถถึงเส้นรอง KKN'!AZ:AZ)</f>
        <v>#N/A</v>
      </c>
      <c r="Q99" s="60" t="str">
        <f t="shared" si="14"/>
        <v/>
      </c>
      <c r="R99" s="27"/>
      <c r="S99" s="28"/>
      <c r="T99" s="59" t="e">
        <f t="shared" si="15"/>
        <v>#N/A</v>
      </c>
      <c r="V99" s="25" t="e">
        <f t="shared" si="21"/>
        <v>#N/A</v>
      </c>
      <c r="W99" s="25" t="e">
        <f t="shared" si="22"/>
        <v>#N/A</v>
      </c>
      <c r="X99" s="29" t="e">
        <f t="shared" si="23"/>
        <v>#N/A</v>
      </c>
    </row>
    <row r="100" spans="2:24" ht="20.25">
      <c r="B100" s="20">
        <v>96</v>
      </c>
      <c r="C100" s="58" t="e">
        <f>_xlfn.XLOOKUP(D:D,'DATA รถถึงเส้นรอง KKN'!A:A,'DATA รถถึงเส้นรอง KKN'!B:B)</f>
        <v>#N/A</v>
      </c>
      <c r="D100" s="32" t="e">
        <f>_xlfn.XLOOKUP(E100,'DATA รถถึงเส้นรอง KKN'!C:C,'DATA รถถึงเส้นรอง KKN'!A:A)</f>
        <v>#N/A</v>
      </c>
      <c r="E100" s="32" cm="1">
        <f t="array" ref="E100">INDEX('DATA รถถึงเส้นรอง KKN'!C:C,ROW()-3)</f>
        <v>0</v>
      </c>
      <c r="F100" s="22" t="e">
        <f>_xlfn.XLOOKUP(E100,'DATA รถถึงเส้นรอง KKN'!C:C,'DATA รถถึงเส้นรอง KKN'!O:O)</f>
        <v>#N/A</v>
      </c>
      <c r="G100" s="22" t="e">
        <f>_xlfn.XLOOKUP(E100,'DATA รถถึงเส้นรอง KKN'!C:C,'DATA รถถึงเส้นรอง KKN'!L:L)</f>
        <v>#N/A</v>
      </c>
      <c r="H100" s="22" t="e">
        <f>_xlfn.XLOOKUP(E100,#REF!,#REF!)</f>
        <v>#REF!</v>
      </c>
      <c r="I100" s="22" t="e">
        <f>_xlfn.XLOOKUP(E100,#REF!,#REF!)</f>
        <v>#REF!</v>
      </c>
      <c r="J100" s="23" t="e">
        <f>_xlfn.XLOOKUP(E100,'DATA รถถึงเส้นรอง KKN'!C:C,'DATA รถถึงเส้นรอง KKN'!AP:AP)</f>
        <v>#N/A</v>
      </c>
      <c r="K100" s="24" t="e">
        <f>_xlfn.XLOOKUP(E100,'DATA รถถึงเส้นรอง KKN'!C:C,'DATA รถถึงเส้นรอง KKN'!AV:AV)</f>
        <v>#N/A</v>
      </c>
      <c r="L100" s="25" t="e">
        <f t="shared" si="24"/>
        <v>#N/A</v>
      </c>
      <c r="M100" s="24" t="e">
        <f>_xlfn.XLOOKUP(E100,'DATA รถถึงเส้นรอง KKN'!C:C,'DATA รถถึงเส้นรอง KKN'!AW:AW)</f>
        <v>#N/A</v>
      </c>
      <c r="N100" s="24" t="e">
        <f>_xlfn.XLOOKUP(E100,'DATA รถถึงเส้นรอง KKN'!C:C,'DATA รถถึงเส้นรอง KKN'!AY:AY)</f>
        <v>#N/A</v>
      </c>
      <c r="O100" s="26" t="e">
        <f t="shared" si="20"/>
        <v>#N/A</v>
      </c>
      <c r="P100" s="24" t="e">
        <f>_xlfn.XLOOKUP(E100,'DATA รถถึงเส้นรอง KKN'!C:C,'DATA รถถึงเส้นรอง KKN'!AZ:AZ)</f>
        <v>#N/A</v>
      </c>
      <c r="Q100" s="60" t="str">
        <f t="shared" si="14"/>
        <v/>
      </c>
      <c r="R100" s="27"/>
      <c r="S100" s="28"/>
      <c r="T100" s="59" t="e">
        <f t="shared" si="15"/>
        <v>#N/A</v>
      </c>
      <c r="V100" s="25" t="e">
        <f t="shared" si="21"/>
        <v>#N/A</v>
      </c>
      <c r="W100" s="25" t="e">
        <f t="shared" si="22"/>
        <v>#N/A</v>
      </c>
      <c r="X100" s="29" t="e">
        <f t="shared" si="23"/>
        <v>#N/A</v>
      </c>
    </row>
    <row r="101" spans="2:24" ht="20.25">
      <c r="B101" s="20">
        <v>97</v>
      </c>
      <c r="C101" s="58" t="e">
        <f>_xlfn.XLOOKUP(D:D,'DATA รถถึงเส้นรอง KKN'!A:A,'DATA รถถึงเส้นรอง KKN'!B:B)</f>
        <v>#N/A</v>
      </c>
      <c r="D101" s="32" t="e">
        <f>_xlfn.XLOOKUP(E101,'DATA รถถึงเส้นรอง KKN'!C:C,'DATA รถถึงเส้นรอง KKN'!A:A)</f>
        <v>#N/A</v>
      </c>
      <c r="E101" s="32" cm="1">
        <f t="array" ref="E101">INDEX('DATA รถถึงเส้นรอง KKN'!C:C,ROW()-3)</f>
        <v>0</v>
      </c>
      <c r="F101" s="22" t="e">
        <f>_xlfn.XLOOKUP(E101,'DATA รถถึงเส้นรอง KKN'!C:C,'DATA รถถึงเส้นรอง KKN'!O:O)</f>
        <v>#N/A</v>
      </c>
      <c r="G101" s="22" t="e">
        <f>_xlfn.XLOOKUP(E101,'DATA รถถึงเส้นรอง KKN'!C:C,'DATA รถถึงเส้นรอง KKN'!L:L)</f>
        <v>#N/A</v>
      </c>
      <c r="H101" s="22" t="e">
        <f>_xlfn.XLOOKUP(E101,#REF!,#REF!)</f>
        <v>#REF!</v>
      </c>
      <c r="I101" s="22" t="e">
        <f>_xlfn.XLOOKUP(E101,#REF!,#REF!)</f>
        <v>#REF!</v>
      </c>
      <c r="J101" s="23" t="e">
        <f>_xlfn.XLOOKUP(E101,'DATA รถถึงเส้นรอง KKN'!C:C,'DATA รถถึงเส้นรอง KKN'!AP:AP)</f>
        <v>#N/A</v>
      </c>
      <c r="K101" s="24" t="e">
        <f>_xlfn.XLOOKUP(E101,'DATA รถถึงเส้นรอง KKN'!C:C,'DATA รถถึงเส้นรอง KKN'!AV:AV)</f>
        <v>#N/A</v>
      </c>
      <c r="L101" s="25" t="e">
        <f t="shared" si="24"/>
        <v>#N/A</v>
      </c>
      <c r="M101" s="24" t="e">
        <f>_xlfn.XLOOKUP(E101,'DATA รถถึงเส้นรอง KKN'!C:C,'DATA รถถึงเส้นรอง KKN'!AW:AW)</f>
        <v>#N/A</v>
      </c>
      <c r="N101" s="24" t="e">
        <f>_xlfn.XLOOKUP(E101,'DATA รถถึงเส้นรอง KKN'!C:C,'DATA รถถึงเส้นรอง KKN'!AY:AY)</f>
        <v>#N/A</v>
      </c>
      <c r="O101" s="26" t="e">
        <f t="shared" si="20"/>
        <v>#N/A</v>
      </c>
      <c r="P101" s="24" t="e">
        <f>_xlfn.XLOOKUP(E101,'DATA รถถึงเส้นรอง KKN'!C:C,'DATA รถถึงเส้นรอง KKN'!AZ:AZ)</f>
        <v>#N/A</v>
      </c>
      <c r="Q101" s="60" t="str">
        <f t="shared" si="14"/>
        <v/>
      </c>
      <c r="R101" s="27"/>
      <c r="S101" s="28"/>
      <c r="T101" s="59" t="e">
        <f t="shared" si="15"/>
        <v>#N/A</v>
      </c>
      <c r="V101" s="25" t="e">
        <f t="shared" si="21"/>
        <v>#N/A</v>
      </c>
      <c r="W101" s="25" t="e">
        <f t="shared" si="22"/>
        <v>#N/A</v>
      </c>
      <c r="X101" s="29" t="e">
        <f t="shared" si="23"/>
        <v>#N/A</v>
      </c>
    </row>
    <row r="102" spans="2:24" ht="20.25">
      <c r="B102" s="20">
        <v>98</v>
      </c>
      <c r="C102" s="58" t="e">
        <f>_xlfn.XLOOKUP(D:D,'DATA รถถึงเส้นรอง KKN'!A:A,'DATA รถถึงเส้นรอง KKN'!B:B)</f>
        <v>#N/A</v>
      </c>
      <c r="D102" s="32" t="e">
        <f>_xlfn.XLOOKUP(E102,'DATA รถถึงเส้นรอง KKN'!C:C,'DATA รถถึงเส้นรอง KKN'!A:A)</f>
        <v>#N/A</v>
      </c>
      <c r="E102" s="32" cm="1">
        <f t="array" ref="E102">INDEX('DATA รถถึงเส้นรอง KKN'!C:C,ROW()-3)</f>
        <v>0</v>
      </c>
      <c r="F102" s="22" t="e">
        <f>_xlfn.XLOOKUP(E102,'DATA รถถึงเส้นรอง KKN'!C:C,'DATA รถถึงเส้นรอง KKN'!O:O)</f>
        <v>#N/A</v>
      </c>
      <c r="G102" s="22" t="e">
        <f>_xlfn.XLOOKUP(E102,'DATA รถถึงเส้นรอง KKN'!C:C,'DATA รถถึงเส้นรอง KKN'!L:L)</f>
        <v>#N/A</v>
      </c>
      <c r="H102" s="22" t="e">
        <f>_xlfn.XLOOKUP(E102,#REF!,#REF!)</f>
        <v>#REF!</v>
      </c>
      <c r="I102" s="22" t="e">
        <f>_xlfn.XLOOKUP(E102,#REF!,#REF!)</f>
        <v>#REF!</v>
      </c>
      <c r="J102" s="23" t="e">
        <f>_xlfn.XLOOKUP(E102,'DATA รถถึงเส้นรอง KKN'!C:C,'DATA รถถึงเส้นรอง KKN'!AP:AP)</f>
        <v>#N/A</v>
      </c>
      <c r="K102" s="24" t="e">
        <f>_xlfn.XLOOKUP(E102,'DATA รถถึงเส้นรอง KKN'!C:C,'DATA รถถึงเส้นรอง KKN'!AV:AV)</f>
        <v>#N/A</v>
      </c>
      <c r="L102" s="25" t="e">
        <f t="shared" ref="L102:L122" si="25">M102+TIME(2,0,0)</f>
        <v>#N/A</v>
      </c>
      <c r="M102" s="24" t="e">
        <f>_xlfn.XLOOKUP(E102,'DATA รถถึงเส้นรอง KKN'!C:C,'DATA รถถึงเส้นรอง KKN'!AW:AW)</f>
        <v>#N/A</v>
      </c>
      <c r="N102" s="24" t="e">
        <f>_xlfn.XLOOKUP(E102,'DATA รถถึงเส้นรอง KKN'!C:C,'DATA รถถึงเส้นรอง KKN'!AY:AY)</f>
        <v>#N/A</v>
      </c>
      <c r="O102" s="26" t="e">
        <f t="shared" ref="O102:O122" si="26">IF(OR(N102=0,L102=0,N102="",L102=""),"ข้อมูลไม่ครบ",IF(TEXT(N102,"hh:mm:ss")&gt;TEXT(L102,"hh:mm:ss"),"เกินเวลาลงพัสดุ","อยู่ในเวลาที่ควรลง"))</f>
        <v>#N/A</v>
      </c>
      <c r="P102" s="24" t="e">
        <f>_xlfn.XLOOKUP(E102,'DATA รถถึงเส้นรอง KKN'!C:C,'DATA รถถึงเส้นรอง KKN'!AZ:AZ)</f>
        <v>#N/A</v>
      </c>
      <c r="Q102" s="60" t="str">
        <f t="shared" si="14"/>
        <v/>
      </c>
      <c r="R102" s="27"/>
      <c r="S102" s="28"/>
      <c r="T102" s="59" t="e">
        <f t="shared" si="15"/>
        <v>#N/A</v>
      </c>
      <c r="V102" s="25" t="e">
        <f t="shared" si="21"/>
        <v>#N/A</v>
      </c>
      <c r="W102" s="25" t="e">
        <f t="shared" si="22"/>
        <v>#N/A</v>
      </c>
      <c r="X102" s="29" t="e">
        <f t="shared" si="23"/>
        <v>#N/A</v>
      </c>
    </row>
    <row r="103" spans="2:24" ht="20.25">
      <c r="B103" s="20">
        <v>99</v>
      </c>
      <c r="C103" s="58" t="e">
        <f>_xlfn.XLOOKUP(D:D,'DATA รถถึงเส้นรอง KKN'!A:A,'DATA รถถึงเส้นรอง KKN'!B:B)</f>
        <v>#N/A</v>
      </c>
      <c r="D103" s="32" t="e">
        <f>_xlfn.XLOOKUP(E103,'DATA รถถึงเส้นรอง KKN'!C:C,'DATA รถถึงเส้นรอง KKN'!A:A)</f>
        <v>#N/A</v>
      </c>
      <c r="E103" s="32" cm="1">
        <f t="array" ref="E103">INDEX('DATA รถถึงเส้นรอง KKN'!C:C,ROW()-3)</f>
        <v>0</v>
      </c>
      <c r="F103" s="22" t="e">
        <f>_xlfn.XLOOKUP(E103,'DATA รถถึงเส้นรอง KKN'!C:C,'DATA รถถึงเส้นรอง KKN'!O:O)</f>
        <v>#N/A</v>
      </c>
      <c r="G103" s="22" t="e">
        <f>_xlfn.XLOOKUP(E103,'DATA รถถึงเส้นรอง KKN'!C:C,'DATA รถถึงเส้นรอง KKN'!L:L)</f>
        <v>#N/A</v>
      </c>
      <c r="H103" s="22" t="e">
        <f>_xlfn.XLOOKUP(E103,#REF!,#REF!)</f>
        <v>#REF!</v>
      </c>
      <c r="I103" s="22" t="e">
        <f>_xlfn.XLOOKUP(E103,#REF!,#REF!)</f>
        <v>#REF!</v>
      </c>
      <c r="J103" s="23" t="e">
        <f>_xlfn.XLOOKUP(E103,'DATA รถถึงเส้นรอง KKN'!C:C,'DATA รถถึงเส้นรอง KKN'!AP:AP)</f>
        <v>#N/A</v>
      </c>
      <c r="K103" s="24" t="e">
        <f>_xlfn.XLOOKUP(E103,'DATA รถถึงเส้นรอง KKN'!C:C,'DATA รถถึงเส้นรอง KKN'!AV:AV)</f>
        <v>#N/A</v>
      </c>
      <c r="L103" s="25" t="e">
        <f t="shared" si="25"/>
        <v>#N/A</v>
      </c>
      <c r="M103" s="24" t="e">
        <f>_xlfn.XLOOKUP(E103,'DATA รถถึงเส้นรอง KKN'!C:C,'DATA รถถึงเส้นรอง KKN'!AW:AW)</f>
        <v>#N/A</v>
      </c>
      <c r="N103" s="24" t="e">
        <f>_xlfn.XLOOKUP(E103,'DATA รถถึงเส้นรอง KKN'!C:C,'DATA รถถึงเส้นรอง KKN'!AY:AY)</f>
        <v>#N/A</v>
      </c>
      <c r="O103" s="26" t="e">
        <f t="shared" si="26"/>
        <v>#N/A</v>
      </c>
      <c r="P103" s="24" t="e">
        <f>_xlfn.XLOOKUP(E103,'DATA รถถึงเส้นรอง KKN'!C:C,'DATA รถถึงเส้นรอง KKN'!AZ:AZ)</f>
        <v>#N/A</v>
      </c>
      <c r="Q103" s="60" t="str">
        <f t="shared" si="14"/>
        <v/>
      </c>
      <c r="R103" s="27"/>
      <c r="S103" s="28"/>
      <c r="T103" s="59" t="e">
        <f t="shared" si="15"/>
        <v>#N/A</v>
      </c>
      <c r="V103" s="25" t="e">
        <f t="shared" si="21"/>
        <v>#N/A</v>
      </c>
      <c r="W103" s="25" t="e">
        <f t="shared" si="22"/>
        <v>#N/A</v>
      </c>
      <c r="X103" s="29" t="e">
        <f t="shared" si="23"/>
        <v>#N/A</v>
      </c>
    </row>
    <row r="104" spans="2:24" ht="20.25">
      <c r="B104" s="20">
        <v>100</v>
      </c>
      <c r="C104" s="58" t="e">
        <f>_xlfn.XLOOKUP(D:D,'DATA รถถึงเส้นรอง KKN'!A:A,'DATA รถถึงเส้นรอง KKN'!B:B)</f>
        <v>#N/A</v>
      </c>
      <c r="D104" s="32" t="e">
        <f>_xlfn.XLOOKUP(E104,'DATA รถถึงเส้นรอง KKN'!C:C,'DATA รถถึงเส้นรอง KKN'!A:A)</f>
        <v>#N/A</v>
      </c>
      <c r="E104" s="32" cm="1">
        <f t="array" ref="E104">INDEX('DATA รถถึงเส้นรอง KKN'!C:C,ROW()-3)</f>
        <v>0</v>
      </c>
      <c r="F104" s="22" t="e">
        <f>_xlfn.XLOOKUP(E104,'DATA รถถึงเส้นรอง KKN'!C:C,'DATA รถถึงเส้นรอง KKN'!O:O)</f>
        <v>#N/A</v>
      </c>
      <c r="G104" s="22" t="e">
        <f>_xlfn.XLOOKUP(E104,'DATA รถถึงเส้นรอง KKN'!C:C,'DATA รถถึงเส้นรอง KKN'!L:L)</f>
        <v>#N/A</v>
      </c>
      <c r="H104" s="22" t="e">
        <f>_xlfn.XLOOKUP(E104,#REF!,#REF!)</f>
        <v>#REF!</v>
      </c>
      <c r="I104" s="22" t="e">
        <f>_xlfn.XLOOKUP(E104,#REF!,#REF!)</f>
        <v>#REF!</v>
      </c>
      <c r="J104" s="23" t="e">
        <f>_xlfn.XLOOKUP(E104,'DATA รถถึงเส้นรอง KKN'!C:C,'DATA รถถึงเส้นรอง KKN'!AP:AP)</f>
        <v>#N/A</v>
      </c>
      <c r="K104" s="24" t="e">
        <f>_xlfn.XLOOKUP(E104,'DATA รถถึงเส้นรอง KKN'!C:C,'DATA รถถึงเส้นรอง KKN'!AV:AV)</f>
        <v>#N/A</v>
      </c>
      <c r="L104" s="25" t="e">
        <f t="shared" si="25"/>
        <v>#N/A</v>
      </c>
      <c r="M104" s="24" t="e">
        <f>_xlfn.XLOOKUP(E104,'DATA รถถึงเส้นรอง KKN'!C:C,'DATA รถถึงเส้นรอง KKN'!AW:AW)</f>
        <v>#N/A</v>
      </c>
      <c r="N104" s="24" t="e">
        <f>_xlfn.XLOOKUP(E104,'DATA รถถึงเส้นรอง KKN'!C:C,'DATA รถถึงเส้นรอง KKN'!AY:AY)</f>
        <v>#N/A</v>
      </c>
      <c r="O104" s="26" t="e">
        <f t="shared" si="26"/>
        <v>#N/A</v>
      </c>
      <c r="P104" s="24" t="e">
        <f>_xlfn.XLOOKUP(E104,'DATA รถถึงเส้นรอง KKN'!C:C,'DATA รถถึงเส้นรอง KKN'!AZ:AZ)</f>
        <v>#N/A</v>
      </c>
      <c r="Q104" s="60" t="str">
        <f t="shared" si="14"/>
        <v/>
      </c>
      <c r="R104" s="27"/>
      <c r="S104" s="28"/>
      <c r="T104" s="59" t="e">
        <f t="shared" si="15"/>
        <v>#N/A</v>
      </c>
      <c r="V104" s="25" t="e">
        <f t="shared" si="21"/>
        <v>#N/A</v>
      </c>
      <c r="W104" s="25" t="e">
        <f t="shared" si="22"/>
        <v>#N/A</v>
      </c>
      <c r="X104" s="29" t="e">
        <f t="shared" si="23"/>
        <v>#N/A</v>
      </c>
    </row>
    <row r="105" spans="2:24" ht="20.25">
      <c r="B105" s="20">
        <v>101</v>
      </c>
      <c r="C105" s="58" t="e">
        <f>_xlfn.XLOOKUP(D:D,'DATA รถถึงเส้นรอง KKN'!A:A,'DATA รถถึงเส้นรอง KKN'!B:B)</f>
        <v>#N/A</v>
      </c>
      <c r="D105" s="32" t="e">
        <f>_xlfn.XLOOKUP(E105,'DATA รถถึงเส้นรอง KKN'!C:C,'DATA รถถึงเส้นรอง KKN'!A:A)</f>
        <v>#N/A</v>
      </c>
      <c r="E105" s="32" cm="1">
        <f t="array" ref="E105">INDEX('DATA รถถึงเส้นรอง KKN'!C:C,ROW()-3)</f>
        <v>0</v>
      </c>
      <c r="F105" s="22" t="e">
        <f>_xlfn.XLOOKUP(E105,'DATA รถถึงเส้นรอง KKN'!C:C,'DATA รถถึงเส้นรอง KKN'!O:O)</f>
        <v>#N/A</v>
      </c>
      <c r="G105" s="22" t="e">
        <f>_xlfn.XLOOKUP(E105,'DATA รถถึงเส้นรอง KKN'!C:C,'DATA รถถึงเส้นรอง KKN'!L:L)</f>
        <v>#N/A</v>
      </c>
      <c r="H105" s="22" t="e">
        <f>_xlfn.XLOOKUP(E105,#REF!,#REF!)</f>
        <v>#REF!</v>
      </c>
      <c r="I105" s="22" t="e">
        <f>_xlfn.XLOOKUP(E105,#REF!,#REF!)</f>
        <v>#REF!</v>
      </c>
      <c r="J105" s="23" t="e">
        <f>_xlfn.XLOOKUP(E105,'DATA รถถึงเส้นรอง KKN'!C:C,'DATA รถถึงเส้นรอง KKN'!AP:AP)</f>
        <v>#N/A</v>
      </c>
      <c r="K105" s="24" t="e">
        <f>_xlfn.XLOOKUP(E105,'DATA รถถึงเส้นรอง KKN'!C:C,'DATA รถถึงเส้นรอง KKN'!AV:AV)</f>
        <v>#N/A</v>
      </c>
      <c r="L105" s="25" t="e">
        <f t="shared" si="25"/>
        <v>#N/A</v>
      </c>
      <c r="M105" s="24" t="e">
        <f>_xlfn.XLOOKUP(E105,'DATA รถถึงเส้นรอง KKN'!C:C,'DATA รถถึงเส้นรอง KKN'!AW:AW)</f>
        <v>#N/A</v>
      </c>
      <c r="N105" s="24" t="e">
        <f>_xlfn.XLOOKUP(E105,'DATA รถถึงเส้นรอง KKN'!C:C,'DATA รถถึงเส้นรอง KKN'!AY:AY)</f>
        <v>#N/A</v>
      </c>
      <c r="O105" s="26" t="e">
        <f t="shared" si="26"/>
        <v>#N/A</v>
      </c>
      <c r="P105" s="24" t="e">
        <f>_xlfn.XLOOKUP(E105,'DATA รถถึงเส้นรอง KKN'!C:C,'DATA รถถึงเส้นรอง KKN'!AZ:AZ)</f>
        <v>#N/A</v>
      </c>
      <c r="Q105" s="60" t="str">
        <f t="shared" si="14"/>
        <v/>
      </c>
      <c r="R105" s="27"/>
      <c r="S105" s="28"/>
      <c r="T105" s="59" t="e">
        <f t="shared" si="15"/>
        <v>#N/A</v>
      </c>
      <c r="V105" s="25" t="e">
        <f t="shared" si="21"/>
        <v>#N/A</v>
      </c>
      <c r="W105" s="25" t="e">
        <f t="shared" si="22"/>
        <v>#N/A</v>
      </c>
      <c r="X105" s="29" t="e">
        <f t="shared" si="23"/>
        <v>#N/A</v>
      </c>
    </row>
    <row r="106" spans="2:24" ht="20.25">
      <c r="B106" s="20">
        <v>102</v>
      </c>
      <c r="C106" s="58" t="e">
        <f>_xlfn.XLOOKUP(D:D,'DATA รถถึงเส้นรอง KKN'!A:A,'DATA รถถึงเส้นรอง KKN'!B:B)</f>
        <v>#N/A</v>
      </c>
      <c r="D106" s="32" t="e">
        <f>_xlfn.XLOOKUP(E106,'DATA รถถึงเส้นรอง KKN'!C:C,'DATA รถถึงเส้นรอง KKN'!A:A)</f>
        <v>#N/A</v>
      </c>
      <c r="E106" s="32" cm="1">
        <f t="array" ref="E106">INDEX('DATA รถถึงเส้นรอง KKN'!C:C,ROW()-3)</f>
        <v>0</v>
      </c>
      <c r="F106" s="22" t="e">
        <f>_xlfn.XLOOKUP(E106,'DATA รถถึงเส้นรอง KKN'!C:C,'DATA รถถึงเส้นรอง KKN'!O:O)</f>
        <v>#N/A</v>
      </c>
      <c r="G106" s="22" t="e">
        <f>_xlfn.XLOOKUP(E106,'DATA รถถึงเส้นรอง KKN'!C:C,'DATA รถถึงเส้นรอง KKN'!L:L)</f>
        <v>#N/A</v>
      </c>
      <c r="H106" s="22" t="e">
        <f>_xlfn.XLOOKUP(E106,#REF!,#REF!)</f>
        <v>#REF!</v>
      </c>
      <c r="I106" s="22" t="e">
        <f>_xlfn.XLOOKUP(E106,#REF!,#REF!)</f>
        <v>#REF!</v>
      </c>
      <c r="J106" s="23" t="e">
        <f>_xlfn.XLOOKUP(E106,'DATA รถถึงเส้นรอง KKN'!C:C,'DATA รถถึงเส้นรอง KKN'!AP:AP)</f>
        <v>#N/A</v>
      </c>
      <c r="K106" s="24" t="e">
        <f>_xlfn.XLOOKUP(E106,'DATA รถถึงเส้นรอง KKN'!C:C,'DATA รถถึงเส้นรอง KKN'!AV:AV)</f>
        <v>#N/A</v>
      </c>
      <c r="L106" s="25" t="e">
        <f t="shared" si="25"/>
        <v>#N/A</v>
      </c>
      <c r="M106" s="24" t="e">
        <f>_xlfn.XLOOKUP(E106,'DATA รถถึงเส้นรอง KKN'!C:C,'DATA รถถึงเส้นรอง KKN'!AW:AW)</f>
        <v>#N/A</v>
      </c>
      <c r="N106" s="24" t="e">
        <f>_xlfn.XLOOKUP(E106,'DATA รถถึงเส้นรอง KKN'!C:C,'DATA รถถึงเส้นรอง KKN'!AY:AY)</f>
        <v>#N/A</v>
      </c>
      <c r="O106" s="26" t="e">
        <f t="shared" si="26"/>
        <v>#N/A</v>
      </c>
      <c r="P106" s="24" t="e">
        <f>_xlfn.XLOOKUP(E106,'DATA รถถึงเส้นรอง KKN'!C:C,'DATA รถถึงเส้นรอง KKN'!AZ:AZ)</f>
        <v>#N/A</v>
      </c>
      <c r="Q106" s="60" t="str">
        <f t="shared" si="14"/>
        <v/>
      </c>
      <c r="R106" s="27"/>
      <c r="S106" s="28"/>
      <c r="T106" s="59" t="e">
        <f t="shared" si="15"/>
        <v>#N/A</v>
      </c>
      <c r="V106" s="25" t="e">
        <f t="shared" si="21"/>
        <v>#N/A</v>
      </c>
      <c r="W106" s="25" t="e">
        <f t="shared" si="22"/>
        <v>#N/A</v>
      </c>
      <c r="X106" s="29" t="e">
        <f t="shared" si="23"/>
        <v>#N/A</v>
      </c>
    </row>
    <row r="107" spans="2:24" ht="20.25">
      <c r="B107" s="20">
        <v>103</v>
      </c>
      <c r="C107" s="58" t="e">
        <f>_xlfn.XLOOKUP(D:D,'DATA รถถึงเส้นรอง KKN'!A:A,'DATA รถถึงเส้นรอง KKN'!B:B)</f>
        <v>#N/A</v>
      </c>
      <c r="D107" s="32" t="e">
        <f>_xlfn.XLOOKUP(E107,'DATA รถถึงเส้นรอง KKN'!C:C,'DATA รถถึงเส้นรอง KKN'!A:A)</f>
        <v>#N/A</v>
      </c>
      <c r="E107" s="32" cm="1">
        <f t="array" ref="E107">INDEX('DATA รถถึงเส้นรอง KKN'!C:C,ROW()-3)</f>
        <v>0</v>
      </c>
      <c r="F107" s="22" t="e">
        <f>_xlfn.XLOOKUP(E107,'DATA รถถึงเส้นรอง KKN'!C:C,'DATA รถถึงเส้นรอง KKN'!O:O)</f>
        <v>#N/A</v>
      </c>
      <c r="G107" s="22" t="e">
        <f>_xlfn.XLOOKUP(E107,'DATA รถถึงเส้นรอง KKN'!C:C,'DATA รถถึงเส้นรอง KKN'!L:L)</f>
        <v>#N/A</v>
      </c>
      <c r="H107" s="22" t="e">
        <f>_xlfn.XLOOKUP(E107,#REF!,#REF!)</f>
        <v>#REF!</v>
      </c>
      <c r="I107" s="22" t="e">
        <f>_xlfn.XLOOKUP(E107,#REF!,#REF!)</f>
        <v>#REF!</v>
      </c>
      <c r="J107" s="23" t="e">
        <f>_xlfn.XLOOKUP(E107,'DATA รถถึงเส้นรอง KKN'!C:C,'DATA รถถึงเส้นรอง KKN'!AP:AP)</f>
        <v>#N/A</v>
      </c>
      <c r="K107" s="24" t="e">
        <f>_xlfn.XLOOKUP(E107,'DATA รถถึงเส้นรอง KKN'!C:C,'DATA รถถึงเส้นรอง KKN'!AV:AV)</f>
        <v>#N/A</v>
      </c>
      <c r="L107" s="25" t="e">
        <f t="shared" si="25"/>
        <v>#N/A</v>
      </c>
      <c r="M107" s="24" t="e">
        <f>_xlfn.XLOOKUP(E107,'DATA รถถึงเส้นรอง KKN'!C:C,'DATA รถถึงเส้นรอง KKN'!AW:AW)</f>
        <v>#N/A</v>
      </c>
      <c r="N107" s="24" t="e">
        <f>_xlfn.XLOOKUP(E107,'DATA รถถึงเส้นรอง KKN'!C:C,'DATA รถถึงเส้นรอง KKN'!AY:AY)</f>
        <v>#N/A</v>
      </c>
      <c r="O107" s="26" t="e">
        <f t="shared" si="26"/>
        <v>#N/A</v>
      </c>
      <c r="P107" s="24" t="e">
        <f>_xlfn.XLOOKUP(E107,'DATA รถถึงเส้นรอง KKN'!C:C,'DATA รถถึงเส้นรอง KKN'!AZ:AZ)</f>
        <v>#N/A</v>
      </c>
      <c r="Q107" s="60" t="str">
        <f t="shared" si="14"/>
        <v/>
      </c>
      <c r="R107" s="27"/>
      <c r="S107" s="28"/>
      <c r="T107" s="59" t="e">
        <f t="shared" si="15"/>
        <v>#N/A</v>
      </c>
      <c r="V107" s="25" t="e">
        <f t="shared" si="21"/>
        <v>#N/A</v>
      </c>
      <c r="W107" s="25" t="e">
        <f t="shared" si="22"/>
        <v>#N/A</v>
      </c>
      <c r="X107" s="29" t="e">
        <f t="shared" si="23"/>
        <v>#N/A</v>
      </c>
    </row>
    <row r="108" spans="2:24" ht="20.25">
      <c r="B108" s="20">
        <v>104</v>
      </c>
      <c r="C108" s="58" t="e">
        <f>_xlfn.XLOOKUP(D:D,'DATA รถถึงเส้นรอง KKN'!A:A,'DATA รถถึงเส้นรอง KKN'!B:B)</f>
        <v>#N/A</v>
      </c>
      <c r="D108" s="32" t="e">
        <f>_xlfn.XLOOKUP(E108,'DATA รถถึงเส้นรอง KKN'!C:C,'DATA รถถึงเส้นรอง KKN'!A:A)</f>
        <v>#N/A</v>
      </c>
      <c r="E108" s="32" cm="1">
        <f t="array" ref="E108">INDEX('DATA รถถึงเส้นรอง KKN'!C:C,ROW()-3)</f>
        <v>0</v>
      </c>
      <c r="F108" s="22" t="e">
        <f>_xlfn.XLOOKUP(E108,'DATA รถถึงเส้นรอง KKN'!C:C,'DATA รถถึงเส้นรอง KKN'!O:O)</f>
        <v>#N/A</v>
      </c>
      <c r="G108" s="22" t="e">
        <f>_xlfn.XLOOKUP(E108,'DATA รถถึงเส้นรอง KKN'!C:C,'DATA รถถึงเส้นรอง KKN'!L:L)</f>
        <v>#N/A</v>
      </c>
      <c r="H108" s="22" t="e">
        <f>_xlfn.XLOOKUP(E108,#REF!,#REF!)</f>
        <v>#REF!</v>
      </c>
      <c r="I108" s="22" t="e">
        <f>_xlfn.XLOOKUP(E108,#REF!,#REF!)</f>
        <v>#REF!</v>
      </c>
      <c r="J108" s="23" t="e">
        <f>_xlfn.XLOOKUP(E108,'DATA รถถึงเส้นรอง KKN'!C:C,'DATA รถถึงเส้นรอง KKN'!AP:AP)</f>
        <v>#N/A</v>
      </c>
      <c r="K108" s="24" t="e">
        <f>_xlfn.XLOOKUP(E108,'DATA รถถึงเส้นรอง KKN'!C:C,'DATA รถถึงเส้นรอง KKN'!AV:AV)</f>
        <v>#N/A</v>
      </c>
      <c r="L108" s="25" t="e">
        <f t="shared" si="25"/>
        <v>#N/A</v>
      </c>
      <c r="M108" s="24" t="e">
        <f>_xlfn.XLOOKUP(E108,'DATA รถถึงเส้นรอง KKN'!C:C,'DATA รถถึงเส้นรอง KKN'!AW:AW)</f>
        <v>#N/A</v>
      </c>
      <c r="N108" s="24" t="e">
        <f>_xlfn.XLOOKUP(E108,'DATA รถถึงเส้นรอง KKN'!C:C,'DATA รถถึงเส้นรอง KKN'!AY:AY)</f>
        <v>#N/A</v>
      </c>
      <c r="O108" s="26" t="e">
        <f t="shared" si="26"/>
        <v>#N/A</v>
      </c>
      <c r="P108" s="24" t="e">
        <f>_xlfn.XLOOKUP(E108,'DATA รถถึงเส้นรอง KKN'!C:C,'DATA รถถึงเส้นรอง KKN'!AZ:AZ)</f>
        <v>#N/A</v>
      </c>
      <c r="Q108" s="60" t="str">
        <f t="shared" si="14"/>
        <v/>
      </c>
      <c r="R108" s="27"/>
      <c r="S108" s="28"/>
      <c r="T108" s="59" t="e">
        <f t="shared" si="15"/>
        <v>#N/A</v>
      </c>
      <c r="V108" s="25" t="e">
        <f t="shared" si="21"/>
        <v>#N/A</v>
      </c>
      <c r="W108" s="25" t="e">
        <f t="shared" si="22"/>
        <v>#N/A</v>
      </c>
      <c r="X108" s="29" t="e">
        <f t="shared" si="23"/>
        <v>#N/A</v>
      </c>
    </row>
    <row r="109" spans="2:24" ht="20.25">
      <c r="B109" s="20">
        <v>105</v>
      </c>
      <c r="C109" s="58" t="e">
        <f>_xlfn.XLOOKUP(D:D,'DATA รถถึงเส้นรอง KKN'!A:A,'DATA รถถึงเส้นรอง KKN'!B:B)</f>
        <v>#N/A</v>
      </c>
      <c r="D109" s="32" t="e">
        <f>_xlfn.XLOOKUP(E109,'DATA รถถึงเส้นรอง KKN'!C:C,'DATA รถถึงเส้นรอง KKN'!A:A)</f>
        <v>#N/A</v>
      </c>
      <c r="E109" s="32" cm="1">
        <f t="array" ref="E109">INDEX('DATA รถถึงเส้นรอง KKN'!C:C,ROW()-3)</f>
        <v>0</v>
      </c>
      <c r="F109" s="22" t="e">
        <f>_xlfn.XLOOKUP(E109,'DATA รถถึงเส้นรอง KKN'!C:C,'DATA รถถึงเส้นรอง KKN'!O:O)</f>
        <v>#N/A</v>
      </c>
      <c r="G109" s="22" t="e">
        <f>_xlfn.XLOOKUP(E109,'DATA รถถึงเส้นรอง KKN'!C:C,'DATA รถถึงเส้นรอง KKN'!L:L)</f>
        <v>#N/A</v>
      </c>
      <c r="H109" s="22" t="e">
        <f>_xlfn.XLOOKUP(E109,#REF!,#REF!)</f>
        <v>#REF!</v>
      </c>
      <c r="I109" s="22" t="e">
        <f>_xlfn.XLOOKUP(E109,#REF!,#REF!)</f>
        <v>#REF!</v>
      </c>
      <c r="J109" s="23" t="e">
        <f>_xlfn.XLOOKUP(E109,'DATA รถถึงเส้นรอง KKN'!C:C,'DATA รถถึงเส้นรอง KKN'!AP:AP)</f>
        <v>#N/A</v>
      </c>
      <c r="K109" s="24" t="e">
        <f>_xlfn.XLOOKUP(E109,'DATA รถถึงเส้นรอง KKN'!C:C,'DATA รถถึงเส้นรอง KKN'!AV:AV)</f>
        <v>#N/A</v>
      </c>
      <c r="L109" s="25" t="e">
        <f t="shared" si="25"/>
        <v>#N/A</v>
      </c>
      <c r="M109" s="24" t="e">
        <f>_xlfn.XLOOKUP(E109,'DATA รถถึงเส้นรอง KKN'!C:C,'DATA รถถึงเส้นรอง KKN'!AW:AW)</f>
        <v>#N/A</v>
      </c>
      <c r="N109" s="24" t="e">
        <f>_xlfn.XLOOKUP(E109,'DATA รถถึงเส้นรอง KKN'!C:C,'DATA รถถึงเส้นรอง KKN'!AY:AY)</f>
        <v>#N/A</v>
      </c>
      <c r="O109" s="26" t="e">
        <f t="shared" si="26"/>
        <v>#N/A</v>
      </c>
      <c r="P109" s="24" t="e">
        <f>_xlfn.XLOOKUP(E109,'DATA รถถึงเส้นรอง KKN'!C:C,'DATA รถถึงเส้นรอง KKN'!AZ:AZ)</f>
        <v>#N/A</v>
      </c>
      <c r="Q109" s="60" t="str">
        <f t="shared" si="14"/>
        <v/>
      </c>
      <c r="R109" s="27"/>
      <c r="S109" s="28"/>
      <c r="T109" s="59" t="e">
        <f t="shared" si="15"/>
        <v>#N/A</v>
      </c>
      <c r="V109" s="25" t="e">
        <f t="shared" si="21"/>
        <v>#N/A</v>
      </c>
      <c r="W109" s="25" t="e">
        <f t="shared" si="22"/>
        <v>#N/A</v>
      </c>
      <c r="X109" s="29" t="e">
        <f t="shared" si="23"/>
        <v>#N/A</v>
      </c>
    </row>
    <row r="110" spans="2:24" ht="20.25">
      <c r="B110" s="20">
        <v>106</v>
      </c>
      <c r="C110" s="58" t="e">
        <f>_xlfn.XLOOKUP(D:D,'DATA รถถึงเส้นรอง KKN'!A:A,'DATA รถถึงเส้นรอง KKN'!B:B)</f>
        <v>#N/A</v>
      </c>
      <c r="D110" s="32" t="e">
        <f>_xlfn.XLOOKUP(E110,'DATA รถถึงเส้นรอง KKN'!C:C,'DATA รถถึงเส้นรอง KKN'!A:A)</f>
        <v>#N/A</v>
      </c>
      <c r="E110" s="32" cm="1">
        <f t="array" ref="E110">INDEX('DATA รถถึงเส้นรอง KKN'!C:C,ROW()-3)</f>
        <v>0</v>
      </c>
      <c r="F110" s="22" t="e">
        <f>_xlfn.XLOOKUP(E110,'DATA รถถึงเส้นรอง KKN'!C:C,'DATA รถถึงเส้นรอง KKN'!O:O)</f>
        <v>#N/A</v>
      </c>
      <c r="G110" s="22" t="e">
        <f>_xlfn.XLOOKUP(E110,'DATA รถถึงเส้นรอง KKN'!C:C,'DATA รถถึงเส้นรอง KKN'!L:L)</f>
        <v>#N/A</v>
      </c>
      <c r="H110" s="22" t="e">
        <f>_xlfn.XLOOKUP(E110,#REF!,#REF!)</f>
        <v>#REF!</v>
      </c>
      <c r="I110" s="22" t="e">
        <f>_xlfn.XLOOKUP(E110,#REF!,#REF!)</f>
        <v>#REF!</v>
      </c>
      <c r="J110" s="23" t="e">
        <f>_xlfn.XLOOKUP(E110,'DATA รถถึงเส้นรอง KKN'!C:C,'DATA รถถึงเส้นรอง KKN'!AP:AP)</f>
        <v>#N/A</v>
      </c>
      <c r="K110" s="24" t="e">
        <f>_xlfn.XLOOKUP(E110,'DATA รถถึงเส้นรอง KKN'!C:C,'DATA รถถึงเส้นรอง KKN'!AV:AV)</f>
        <v>#N/A</v>
      </c>
      <c r="L110" s="25" t="e">
        <f t="shared" si="25"/>
        <v>#N/A</v>
      </c>
      <c r="M110" s="24" t="e">
        <f>_xlfn.XLOOKUP(E110,'DATA รถถึงเส้นรอง KKN'!C:C,'DATA รถถึงเส้นรอง KKN'!AW:AW)</f>
        <v>#N/A</v>
      </c>
      <c r="N110" s="24" t="e">
        <f>_xlfn.XLOOKUP(E110,'DATA รถถึงเส้นรอง KKN'!C:C,'DATA รถถึงเส้นรอง KKN'!AY:AY)</f>
        <v>#N/A</v>
      </c>
      <c r="O110" s="26" t="e">
        <f t="shared" si="26"/>
        <v>#N/A</v>
      </c>
      <c r="P110" s="24" t="e">
        <f>_xlfn.XLOOKUP(E110,'DATA รถถึงเส้นรอง KKN'!C:C,'DATA รถถึงเส้นรอง KKN'!AZ:AZ)</f>
        <v>#N/A</v>
      </c>
      <c r="Q110" s="60" t="str">
        <f t="shared" si="14"/>
        <v/>
      </c>
      <c r="R110" s="27"/>
      <c r="S110" s="28"/>
      <c r="T110" s="59" t="e">
        <f t="shared" si="15"/>
        <v>#N/A</v>
      </c>
      <c r="V110" s="25" t="e">
        <f t="shared" si="21"/>
        <v>#N/A</v>
      </c>
      <c r="W110" s="25" t="e">
        <f t="shared" si="22"/>
        <v>#N/A</v>
      </c>
      <c r="X110" s="29" t="e">
        <f t="shared" si="23"/>
        <v>#N/A</v>
      </c>
    </row>
    <row r="111" spans="2:24" ht="20.25">
      <c r="B111" s="20">
        <v>107</v>
      </c>
      <c r="C111" s="58" t="e">
        <f>_xlfn.XLOOKUP(D:D,'DATA รถถึงเส้นรอง KKN'!A:A,'DATA รถถึงเส้นรอง KKN'!B:B)</f>
        <v>#N/A</v>
      </c>
      <c r="D111" s="32" t="e">
        <f>_xlfn.XLOOKUP(E111,'DATA รถถึงเส้นรอง KKN'!C:C,'DATA รถถึงเส้นรอง KKN'!A:A)</f>
        <v>#N/A</v>
      </c>
      <c r="E111" s="32" cm="1">
        <f t="array" ref="E111">INDEX('DATA รถถึงเส้นรอง KKN'!C:C,ROW()-3)</f>
        <v>0</v>
      </c>
      <c r="F111" s="22" t="e">
        <f>_xlfn.XLOOKUP(E111,'DATA รถถึงเส้นรอง KKN'!C:C,'DATA รถถึงเส้นรอง KKN'!O:O)</f>
        <v>#N/A</v>
      </c>
      <c r="G111" s="22" t="e">
        <f>_xlfn.XLOOKUP(E111,'DATA รถถึงเส้นรอง KKN'!C:C,'DATA รถถึงเส้นรอง KKN'!L:L)</f>
        <v>#N/A</v>
      </c>
      <c r="H111" s="22" t="e">
        <f>_xlfn.XLOOKUP(E111,#REF!,#REF!)</f>
        <v>#REF!</v>
      </c>
      <c r="I111" s="22" t="e">
        <f>_xlfn.XLOOKUP(E111,#REF!,#REF!)</f>
        <v>#REF!</v>
      </c>
      <c r="J111" s="23" t="e">
        <f>_xlfn.XLOOKUP(E111,'DATA รถถึงเส้นรอง KKN'!C:C,'DATA รถถึงเส้นรอง KKN'!AP:AP)</f>
        <v>#N/A</v>
      </c>
      <c r="K111" s="24" t="e">
        <f>_xlfn.XLOOKUP(E111,'DATA รถถึงเส้นรอง KKN'!C:C,'DATA รถถึงเส้นรอง KKN'!AV:AV)</f>
        <v>#N/A</v>
      </c>
      <c r="L111" s="25" t="e">
        <f t="shared" si="25"/>
        <v>#N/A</v>
      </c>
      <c r="M111" s="24" t="e">
        <f>_xlfn.XLOOKUP(E111,'DATA รถถึงเส้นรอง KKN'!C:C,'DATA รถถึงเส้นรอง KKN'!AW:AW)</f>
        <v>#N/A</v>
      </c>
      <c r="N111" s="24" t="e">
        <f>_xlfn.XLOOKUP(E111,'DATA รถถึงเส้นรอง KKN'!C:C,'DATA รถถึงเส้นรอง KKN'!AY:AY)</f>
        <v>#N/A</v>
      </c>
      <c r="O111" s="26" t="e">
        <f t="shared" si="26"/>
        <v>#N/A</v>
      </c>
      <c r="P111" s="24" t="e">
        <f>_xlfn.XLOOKUP(E111,'DATA รถถึงเส้นรอง KKN'!C:C,'DATA รถถึงเส้นรอง KKN'!AZ:AZ)</f>
        <v>#N/A</v>
      </c>
      <c r="Q111" s="60" t="str">
        <f t="shared" si="14"/>
        <v/>
      </c>
      <c r="R111" s="27"/>
      <c r="S111" s="28"/>
      <c r="T111" s="59" t="e">
        <f t="shared" si="15"/>
        <v>#N/A</v>
      </c>
      <c r="V111" s="25" t="e">
        <f t="shared" ref="V111:V122" si="27">RIGHT(P111,8)</f>
        <v>#N/A</v>
      </c>
      <c r="W111" s="25" t="e">
        <f t="shared" ref="W111:W122" si="28">RIGHT(N111,8)</f>
        <v>#N/A</v>
      </c>
      <c r="X111" s="29" t="e">
        <f t="shared" ref="X111:X122" si="29">MOD(V111-W111,1)</f>
        <v>#N/A</v>
      </c>
    </row>
    <row r="112" spans="2:24" ht="20.25">
      <c r="B112" s="20">
        <v>108</v>
      </c>
      <c r="C112" s="58" t="e">
        <f>_xlfn.XLOOKUP(D:D,'DATA รถถึงเส้นรอง KKN'!A:A,'DATA รถถึงเส้นรอง KKN'!B:B)</f>
        <v>#N/A</v>
      </c>
      <c r="D112" s="32" t="e">
        <f>_xlfn.XLOOKUP(E112,'DATA รถถึงเส้นรอง KKN'!C:C,'DATA รถถึงเส้นรอง KKN'!A:A)</f>
        <v>#N/A</v>
      </c>
      <c r="E112" s="32" cm="1">
        <f t="array" ref="E112">INDEX('DATA รถถึงเส้นรอง KKN'!C:C,ROW()-3)</f>
        <v>0</v>
      </c>
      <c r="F112" s="22" t="e">
        <f>_xlfn.XLOOKUP(E112,'DATA รถถึงเส้นรอง KKN'!C:C,'DATA รถถึงเส้นรอง KKN'!O:O)</f>
        <v>#N/A</v>
      </c>
      <c r="G112" s="22" t="e">
        <f>_xlfn.XLOOKUP(E112,'DATA รถถึงเส้นรอง KKN'!C:C,'DATA รถถึงเส้นรอง KKN'!L:L)</f>
        <v>#N/A</v>
      </c>
      <c r="H112" s="22" t="e">
        <f>_xlfn.XLOOKUP(E112,#REF!,#REF!)</f>
        <v>#REF!</v>
      </c>
      <c r="I112" s="22" t="e">
        <f>_xlfn.XLOOKUP(E112,#REF!,#REF!)</f>
        <v>#REF!</v>
      </c>
      <c r="J112" s="23" t="e">
        <f>_xlfn.XLOOKUP(E112,'DATA รถถึงเส้นรอง KKN'!C:C,'DATA รถถึงเส้นรอง KKN'!AP:AP)</f>
        <v>#N/A</v>
      </c>
      <c r="K112" s="24" t="e">
        <f>_xlfn.XLOOKUP(E112,'DATA รถถึงเส้นรอง KKN'!C:C,'DATA รถถึงเส้นรอง KKN'!AV:AV)</f>
        <v>#N/A</v>
      </c>
      <c r="L112" s="25" t="e">
        <f t="shared" si="25"/>
        <v>#N/A</v>
      </c>
      <c r="M112" s="24" t="e">
        <f>_xlfn.XLOOKUP(E112,'DATA รถถึงเส้นรอง KKN'!C:C,'DATA รถถึงเส้นรอง KKN'!AW:AW)</f>
        <v>#N/A</v>
      </c>
      <c r="N112" s="24" t="e">
        <f>_xlfn.XLOOKUP(E112,'DATA รถถึงเส้นรอง KKN'!C:C,'DATA รถถึงเส้นรอง KKN'!AY:AY)</f>
        <v>#N/A</v>
      </c>
      <c r="O112" s="26" t="e">
        <f t="shared" si="26"/>
        <v>#N/A</v>
      </c>
      <c r="P112" s="24" t="e">
        <f>_xlfn.XLOOKUP(E112,'DATA รถถึงเส้นรอง KKN'!C:C,'DATA รถถึงเส้นรอง KKN'!AZ:AZ)</f>
        <v>#N/A</v>
      </c>
      <c r="Q112" s="60" t="str">
        <f t="shared" si="14"/>
        <v/>
      </c>
      <c r="R112" s="27"/>
      <c r="S112" s="28"/>
      <c r="T112" s="59" t="e">
        <f t="shared" si="15"/>
        <v>#N/A</v>
      </c>
      <c r="V112" s="25" t="e">
        <f t="shared" si="27"/>
        <v>#N/A</v>
      </c>
      <c r="W112" s="25" t="e">
        <f t="shared" si="28"/>
        <v>#N/A</v>
      </c>
      <c r="X112" s="29" t="e">
        <f t="shared" si="29"/>
        <v>#N/A</v>
      </c>
    </row>
    <row r="113" spans="2:24" ht="20.25">
      <c r="B113" s="20">
        <v>109</v>
      </c>
      <c r="C113" s="58" t="e">
        <f>_xlfn.XLOOKUP(D:D,'DATA รถถึงเส้นรอง KKN'!A:A,'DATA รถถึงเส้นรอง KKN'!B:B)</f>
        <v>#N/A</v>
      </c>
      <c r="D113" s="32" t="e">
        <f>_xlfn.XLOOKUP(E113,'DATA รถถึงเส้นรอง KKN'!C:C,'DATA รถถึงเส้นรอง KKN'!A:A)</f>
        <v>#N/A</v>
      </c>
      <c r="E113" s="32" cm="1">
        <f t="array" ref="E113">INDEX('DATA รถถึงเส้นรอง KKN'!C:C,ROW()-3)</f>
        <v>0</v>
      </c>
      <c r="F113" s="22" t="e">
        <f>_xlfn.XLOOKUP(E113,'DATA รถถึงเส้นรอง KKN'!C:C,'DATA รถถึงเส้นรอง KKN'!O:O)</f>
        <v>#N/A</v>
      </c>
      <c r="G113" s="22" t="e">
        <f>_xlfn.XLOOKUP(E113,'DATA รถถึงเส้นรอง KKN'!C:C,'DATA รถถึงเส้นรอง KKN'!L:L)</f>
        <v>#N/A</v>
      </c>
      <c r="H113" s="22" t="e">
        <f>_xlfn.XLOOKUP(E113,#REF!,#REF!)</f>
        <v>#REF!</v>
      </c>
      <c r="I113" s="22" t="e">
        <f>_xlfn.XLOOKUP(E113,#REF!,#REF!)</f>
        <v>#REF!</v>
      </c>
      <c r="J113" s="23" t="e">
        <f>_xlfn.XLOOKUP(E113,'DATA รถถึงเส้นรอง KKN'!C:C,'DATA รถถึงเส้นรอง KKN'!AP:AP)</f>
        <v>#N/A</v>
      </c>
      <c r="K113" s="24" t="e">
        <f>_xlfn.XLOOKUP(E113,'DATA รถถึงเส้นรอง KKN'!C:C,'DATA รถถึงเส้นรอง KKN'!AV:AV)</f>
        <v>#N/A</v>
      </c>
      <c r="L113" s="25" t="e">
        <f t="shared" si="25"/>
        <v>#N/A</v>
      </c>
      <c r="M113" s="24" t="e">
        <f>_xlfn.XLOOKUP(E113,'DATA รถถึงเส้นรอง KKN'!C:C,'DATA รถถึงเส้นรอง KKN'!AW:AW)</f>
        <v>#N/A</v>
      </c>
      <c r="N113" s="24" t="e">
        <f>_xlfn.XLOOKUP(E113,'DATA รถถึงเส้นรอง KKN'!C:C,'DATA รถถึงเส้นรอง KKN'!AY:AY)</f>
        <v>#N/A</v>
      </c>
      <c r="O113" s="26" t="e">
        <f t="shared" si="26"/>
        <v>#N/A</v>
      </c>
      <c r="P113" s="24" t="e">
        <f>_xlfn.XLOOKUP(E113,'DATA รถถึงเส้นรอง KKN'!C:C,'DATA รถถึงเส้นรอง KKN'!AZ:AZ)</f>
        <v>#N/A</v>
      </c>
      <c r="Q113" s="60" t="str">
        <f t="shared" si="14"/>
        <v/>
      </c>
      <c r="R113" s="27"/>
      <c r="S113" s="28"/>
      <c r="T113" s="59" t="e">
        <f t="shared" si="15"/>
        <v>#N/A</v>
      </c>
      <c r="V113" s="25" t="e">
        <f t="shared" si="27"/>
        <v>#N/A</v>
      </c>
      <c r="W113" s="25" t="e">
        <f t="shared" si="28"/>
        <v>#N/A</v>
      </c>
      <c r="X113" s="29" t="e">
        <f t="shared" si="29"/>
        <v>#N/A</v>
      </c>
    </row>
    <row r="114" spans="2:24" ht="20.25">
      <c r="B114" s="20">
        <v>110</v>
      </c>
      <c r="C114" s="58" t="e">
        <f>_xlfn.XLOOKUP(D:D,'DATA รถถึงเส้นรอง KKN'!A:A,'DATA รถถึงเส้นรอง KKN'!B:B)</f>
        <v>#N/A</v>
      </c>
      <c r="D114" s="32" t="e">
        <f>_xlfn.XLOOKUP(E114,'DATA รถถึงเส้นรอง KKN'!C:C,'DATA รถถึงเส้นรอง KKN'!A:A)</f>
        <v>#N/A</v>
      </c>
      <c r="E114" s="32" cm="1">
        <f t="array" ref="E114">INDEX('DATA รถถึงเส้นรอง KKN'!C:C,ROW()-3)</f>
        <v>0</v>
      </c>
      <c r="F114" s="22" t="e">
        <f>_xlfn.XLOOKUP(E114,'DATA รถถึงเส้นรอง KKN'!C:C,'DATA รถถึงเส้นรอง KKN'!O:O)</f>
        <v>#N/A</v>
      </c>
      <c r="G114" s="22" t="e">
        <f>_xlfn.XLOOKUP(E114,'DATA รถถึงเส้นรอง KKN'!C:C,'DATA รถถึงเส้นรอง KKN'!L:L)</f>
        <v>#N/A</v>
      </c>
      <c r="H114" s="22" t="e">
        <f>_xlfn.XLOOKUP(E114,#REF!,#REF!)</f>
        <v>#REF!</v>
      </c>
      <c r="I114" s="22" t="e">
        <f>_xlfn.XLOOKUP(E114,#REF!,#REF!)</f>
        <v>#REF!</v>
      </c>
      <c r="J114" s="23" t="e">
        <f>_xlfn.XLOOKUP(E114,'DATA รถถึงเส้นรอง KKN'!C:C,'DATA รถถึงเส้นรอง KKN'!AP:AP)</f>
        <v>#N/A</v>
      </c>
      <c r="K114" s="24" t="e">
        <f>_xlfn.XLOOKUP(E114,'DATA รถถึงเส้นรอง KKN'!C:C,'DATA รถถึงเส้นรอง KKN'!AV:AV)</f>
        <v>#N/A</v>
      </c>
      <c r="L114" s="25" t="e">
        <f t="shared" si="25"/>
        <v>#N/A</v>
      </c>
      <c r="M114" s="24" t="e">
        <f>_xlfn.XLOOKUP(E114,'DATA รถถึงเส้นรอง KKN'!C:C,'DATA รถถึงเส้นรอง KKN'!AW:AW)</f>
        <v>#N/A</v>
      </c>
      <c r="N114" s="24" t="e">
        <f>_xlfn.XLOOKUP(E114,'DATA รถถึงเส้นรอง KKN'!C:C,'DATA รถถึงเส้นรอง KKN'!AY:AY)</f>
        <v>#N/A</v>
      </c>
      <c r="O114" s="26" t="e">
        <f t="shared" si="26"/>
        <v>#N/A</v>
      </c>
      <c r="P114" s="24" t="e">
        <f>_xlfn.XLOOKUP(E114,'DATA รถถึงเส้นรอง KKN'!C:C,'DATA รถถึงเส้นรอง KKN'!AZ:AZ)</f>
        <v>#N/A</v>
      </c>
      <c r="Q114" s="60" t="str">
        <f t="shared" si="14"/>
        <v/>
      </c>
      <c r="R114" s="27"/>
      <c r="S114" s="28"/>
      <c r="T114" s="59" t="e">
        <f t="shared" si="15"/>
        <v>#N/A</v>
      </c>
      <c r="V114" s="25" t="e">
        <f t="shared" si="27"/>
        <v>#N/A</v>
      </c>
      <c r="W114" s="25" t="e">
        <f t="shared" si="28"/>
        <v>#N/A</v>
      </c>
      <c r="X114" s="29" t="e">
        <f t="shared" si="29"/>
        <v>#N/A</v>
      </c>
    </row>
    <row r="115" spans="2:24" ht="20.25">
      <c r="B115" s="20">
        <v>111</v>
      </c>
      <c r="C115" s="58" t="e">
        <f>_xlfn.XLOOKUP(D:D,'DATA รถถึงเส้นรอง KKN'!A:A,'DATA รถถึงเส้นรอง KKN'!B:B)</f>
        <v>#N/A</v>
      </c>
      <c r="D115" s="32" t="e">
        <f>_xlfn.XLOOKUP(E115,'DATA รถถึงเส้นรอง KKN'!C:C,'DATA รถถึงเส้นรอง KKN'!A:A)</f>
        <v>#N/A</v>
      </c>
      <c r="E115" s="32" cm="1">
        <f t="array" ref="E115">INDEX('DATA รถถึงเส้นรอง KKN'!C:C,ROW()-3)</f>
        <v>0</v>
      </c>
      <c r="F115" s="22" t="e">
        <f>_xlfn.XLOOKUP(E115,'DATA รถถึงเส้นรอง KKN'!C:C,'DATA รถถึงเส้นรอง KKN'!O:O)</f>
        <v>#N/A</v>
      </c>
      <c r="G115" s="22" t="e">
        <f>_xlfn.XLOOKUP(E115,'DATA รถถึงเส้นรอง KKN'!C:C,'DATA รถถึงเส้นรอง KKN'!L:L)</f>
        <v>#N/A</v>
      </c>
      <c r="H115" s="22" t="e">
        <f>_xlfn.XLOOKUP(E115,#REF!,#REF!)</f>
        <v>#REF!</v>
      </c>
      <c r="I115" s="22" t="e">
        <f>_xlfn.XLOOKUP(E115,#REF!,#REF!)</f>
        <v>#REF!</v>
      </c>
      <c r="J115" s="23" t="e">
        <f>_xlfn.XLOOKUP(E115,'DATA รถถึงเส้นรอง KKN'!C:C,'DATA รถถึงเส้นรอง KKN'!AP:AP)</f>
        <v>#N/A</v>
      </c>
      <c r="K115" s="24" t="e">
        <f>_xlfn.XLOOKUP(E115,'DATA รถถึงเส้นรอง KKN'!C:C,'DATA รถถึงเส้นรอง KKN'!AV:AV)</f>
        <v>#N/A</v>
      </c>
      <c r="L115" s="25" t="e">
        <f t="shared" si="25"/>
        <v>#N/A</v>
      </c>
      <c r="M115" s="24" t="e">
        <f>_xlfn.XLOOKUP(E115,'DATA รถถึงเส้นรอง KKN'!C:C,'DATA รถถึงเส้นรอง KKN'!AW:AW)</f>
        <v>#N/A</v>
      </c>
      <c r="N115" s="24" t="e">
        <f>_xlfn.XLOOKUP(E115,'DATA รถถึงเส้นรอง KKN'!C:C,'DATA รถถึงเส้นรอง KKN'!AY:AY)</f>
        <v>#N/A</v>
      </c>
      <c r="O115" s="26" t="e">
        <f t="shared" si="26"/>
        <v>#N/A</v>
      </c>
      <c r="P115" s="24" t="e">
        <f>_xlfn.XLOOKUP(E115,'DATA รถถึงเส้นรอง KKN'!C:C,'DATA รถถึงเส้นรอง KKN'!AZ:AZ)</f>
        <v>#N/A</v>
      </c>
      <c r="Q115" s="60" t="str">
        <f t="shared" si="14"/>
        <v/>
      </c>
      <c r="R115" s="27"/>
      <c r="S115" s="28"/>
      <c r="T115" s="59" t="e">
        <f t="shared" si="15"/>
        <v>#N/A</v>
      </c>
      <c r="V115" s="25" t="e">
        <f t="shared" si="27"/>
        <v>#N/A</v>
      </c>
      <c r="W115" s="25" t="e">
        <f t="shared" si="28"/>
        <v>#N/A</v>
      </c>
      <c r="X115" s="29" t="e">
        <f t="shared" si="29"/>
        <v>#N/A</v>
      </c>
    </row>
    <row r="116" spans="2:24" ht="20.25">
      <c r="B116" s="20">
        <v>112</v>
      </c>
      <c r="C116" s="58" t="e">
        <f>_xlfn.XLOOKUP(D:D,'DATA รถถึงเส้นรอง KKN'!A:A,'DATA รถถึงเส้นรอง KKN'!B:B)</f>
        <v>#N/A</v>
      </c>
      <c r="D116" s="32" t="e">
        <f>_xlfn.XLOOKUP(E116,'DATA รถถึงเส้นรอง KKN'!C:C,'DATA รถถึงเส้นรอง KKN'!A:A)</f>
        <v>#N/A</v>
      </c>
      <c r="E116" s="32" cm="1">
        <f t="array" ref="E116">INDEX('DATA รถถึงเส้นรอง KKN'!C:C,ROW()-3)</f>
        <v>0</v>
      </c>
      <c r="F116" s="22" t="e">
        <f>_xlfn.XLOOKUP(E116,'DATA รถถึงเส้นรอง KKN'!C:C,'DATA รถถึงเส้นรอง KKN'!O:O)</f>
        <v>#N/A</v>
      </c>
      <c r="G116" s="22" t="e">
        <f>_xlfn.XLOOKUP(E116,'DATA รถถึงเส้นรอง KKN'!C:C,'DATA รถถึงเส้นรอง KKN'!L:L)</f>
        <v>#N/A</v>
      </c>
      <c r="H116" s="22" t="e">
        <f>_xlfn.XLOOKUP(E116,#REF!,#REF!)</f>
        <v>#REF!</v>
      </c>
      <c r="I116" s="22" t="e">
        <f>_xlfn.XLOOKUP(E116,#REF!,#REF!)</f>
        <v>#REF!</v>
      </c>
      <c r="J116" s="23" t="e">
        <f>_xlfn.XLOOKUP(E116,'DATA รถถึงเส้นรอง KKN'!C:C,'DATA รถถึงเส้นรอง KKN'!AP:AP)</f>
        <v>#N/A</v>
      </c>
      <c r="K116" s="24" t="e">
        <f>_xlfn.XLOOKUP(E116,'DATA รถถึงเส้นรอง KKN'!C:C,'DATA รถถึงเส้นรอง KKN'!AV:AV)</f>
        <v>#N/A</v>
      </c>
      <c r="L116" s="25" t="e">
        <f t="shared" si="25"/>
        <v>#N/A</v>
      </c>
      <c r="M116" s="24" t="e">
        <f>_xlfn.XLOOKUP(E116,'DATA รถถึงเส้นรอง KKN'!C:C,'DATA รถถึงเส้นรอง KKN'!AW:AW)</f>
        <v>#N/A</v>
      </c>
      <c r="N116" s="24" t="e">
        <f>_xlfn.XLOOKUP(E116,'DATA รถถึงเส้นรอง KKN'!C:C,'DATA รถถึงเส้นรอง KKN'!AY:AY)</f>
        <v>#N/A</v>
      </c>
      <c r="O116" s="26" t="e">
        <f t="shared" si="26"/>
        <v>#N/A</v>
      </c>
      <c r="P116" s="24" t="e">
        <f>_xlfn.XLOOKUP(E116,'DATA รถถึงเส้นรอง KKN'!C:C,'DATA รถถึงเส้นรอง KKN'!AZ:AZ)</f>
        <v>#N/A</v>
      </c>
      <c r="Q116" s="60" t="str">
        <f t="shared" si="14"/>
        <v/>
      </c>
      <c r="R116" s="27"/>
      <c r="S116" s="28"/>
      <c r="T116" s="59" t="e">
        <f t="shared" si="15"/>
        <v>#N/A</v>
      </c>
      <c r="V116" s="25" t="e">
        <f t="shared" si="27"/>
        <v>#N/A</v>
      </c>
      <c r="W116" s="25" t="e">
        <f t="shared" si="28"/>
        <v>#N/A</v>
      </c>
      <c r="X116" s="29" t="e">
        <f t="shared" si="29"/>
        <v>#N/A</v>
      </c>
    </row>
    <row r="117" spans="2:24" ht="20.25">
      <c r="B117" s="20">
        <v>113</v>
      </c>
      <c r="C117" s="58" t="e">
        <f>_xlfn.XLOOKUP(D:D,'DATA รถถึงเส้นรอง KKN'!A:A,'DATA รถถึงเส้นรอง KKN'!B:B)</f>
        <v>#N/A</v>
      </c>
      <c r="D117" s="32" t="e">
        <f>_xlfn.XLOOKUP(E117,'DATA รถถึงเส้นรอง KKN'!C:C,'DATA รถถึงเส้นรอง KKN'!A:A)</f>
        <v>#N/A</v>
      </c>
      <c r="E117" s="32" cm="1">
        <f t="array" ref="E117">INDEX('DATA รถถึงเส้นรอง KKN'!C:C,ROW()-3)</f>
        <v>0</v>
      </c>
      <c r="F117" s="22" t="e">
        <f>_xlfn.XLOOKUP(E117,'DATA รถถึงเส้นรอง KKN'!C:C,'DATA รถถึงเส้นรอง KKN'!O:O)</f>
        <v>#N/A</v>
      </c>
      <c r="G117" s="22" t="e">
        <f>_xlfn.XLOOKUP(E117,'DATA รถถึงเส้นรอง KKN'!C:C,'DATA รถถึงเส้นรอง KKN'!L:L)</f>
        <v>#N/A</v>
      </c>
      <c r="H117" s="22" t="e">
        <f>_xlfn.XLOOKUP(E117,#REF!,#REF!)</f>
        <v>#REF!</v>
      </c>
      <c r="I117" s="22" t="e">
        <f>_xlfn.XLOOKUP(E117,#REF!,#REF!)</f>
        <v>#REF!</v>
      </c>
      <c r="J117" s="23" t="e">
        <f>_xlfn.XLOOKUP(E117,'DATA รถถึงเส้นรอง KKN'!C:C,'DATA รถถึงเส้นรอง KKN'!AP:AP)</f>
        <v>#N/A</v>
      </c>
      <c r="K117" s="24" t="e">
        <f>_xlfn.XLOOKUP(E117,'DATA รถถึงเส้นรอง KKN'!C:C,'DATA รถถึงเส้นรอง KKN'!AV:AV)</f>
        <v>#N/A</v>
      </c>
      <c r="L117" s="25" t="e">
        <f t="shared" si="25"/>
        <v>#N/A</v>
      </c>
      <c r="M117" s="24" t="e">
        <f>_xlfn.XLOOKUP(E117,'DATA รถถึงเส้นรอง KKN'!C:C,'DATA รถถึงเส้นรอง KKN'!AW:AW)</f>
        <v>#N/A</v>
      </c>
      <c r="N117" s="24" t="e">
        <f>_xlfn.XLOOKUP(E117,'DATA รถถึงเส้นรอง KKN'!C:C,'DATA รถถึงเส้นรอง KKN'!AY:AY)</f>
        <v>#N/A</v>
      </c>
      <c r="O117" s="26" t="e">
        <f t="shared" si="26"/>
        <v>#N/A</v>
      </c>
      <c r="P117" s="24" t="e">
        <f>_xlfn.XLOOKUP(E117,'DATA รถถึงเส้นรอง KKN'!C:C,'DATA รถถึงเส้นรอง KKN'!AZ:AZ)</f>
        <v>#N/A</v>
      </c>
      <c r="Q117" s="60" t="str">
        <f t="shared" si="14"/>
        <v/>
      </c>
      <c r="R117" s="27"/>
      <c r="S117" s="28"/>
      <c r="T117" s="59" t="e">
        <f t="shared" si="15"/>
        <v>#N/A</v>
      </c>
      <c r="V117" s="25" t="e">
        <f t="shared" si="27"/>
        <v>#N/A</v>
      </c>
      <c r="W117" s="25" t="e">
        <f t="shared" si="28"/>
        <v>#N/A</v>
      </c>
      <c r="X117" s="29" t="e">
        <f t="shared" si="29"/>
        <v>#N/A</v>
      </c>
    </row>
    <row r="118" spans="2:24" ht="20.25">
      <c r="B118" s="20">
        <v>114</v>
      </c>
      <c r="C118" s="58" t="e">
        <f>_xlfn.XLOOKUP(D:D,'DATA รถถึงเส้นรอง KKN'!A:A,'DATA รถถึงเส้นรอง KKN'!B:B)</f>
        <v>#N/A</v>
      </c>
      <c r="D118" s="32" t="e">
        <f>_xlfn.XLOOKUP(E118,'DATA รถถึงเส้นรอง KKN'!C:C,'DATA รถถึงเส้นรอง KKN'!A:A)</f>
        <v>#N/A</v>
      </c>
      <c r="E118" s="32" cm="1">
        <f t="array" ref="E118">INDEX('DATA รถถึงเส้นรอง KKN'!C:C,ROW()-3)</f>
        <v>0</v>
      </c>
      <c r="F118" s="22" t="e">
        <f>_xlfn.XLOOKUP(E118,'DATA รถถึงเส้นรอง KKN'!C:C,'DATA รถถึงเส้นรอง KKN'!O:O)</f>
        <v>#N/A</v>
      </c>
      <c r="G118" s="22" t="e">
        <f>_xlfn.XLOOKUP(E118,'DATA รถถึงเส้นรอง KKN'!C:C,'DATA รถถึงเส้นรอง KKN'!L:L)</f>
        <v>#N/A</v>
      </c>
      <c r="H118" s="22" t="e">
        <f>_xlfn.XLOOKUP(E118,#REF!,#REF!)</f>
        <v>#REF!</v>
      </c>
      <c r="I118" s="22" t="e">
        <f>_xlfn.XLOOKUP(E118,#REF!,#REF!)</f>
        <v>#REF!</v>
      </c>
      <c r="J118" s="23" t="e">
        <f>_xlfn.XLOOKUP(E118,'DATA รถถึงเส้นรอง KKN'!C:C,'DATA รถถึงเส้นรอง KKN'!AP:AP)</f>
        <v>#N/A</v>
      </c>
      <c r="K118" s="24" t="e">
        <f>_xlfn.XLOOKUP(E118,'DATA รถถึงเส้นรอง KKN'!C:C,'DATA รถถึงเส้นรอง KKN'!AV:AV)</f>
        <v>#N/A</v>
      </c>
      <c r="L118" s="25" t="e">
        <f t="shared" si="25"/>
        <v>#N/A</v>
      </c>
      <c r="M118" s="24" t="e">
        <f>_xlfn.XLOOKUP(E118,'DATA รถถึงเส้นรอง KKN'!C:C,'DATA รถถึงเส้นรอง KKN'!AW:AW)</f>
        <v>#N/A</v>
      </c>
      <c r="N118" s="24" t="e">
        <f>_xlfn.XLOOKUP(E118,'DATA รถถึงเส้นรอง KKN'!C:C,'DATA รถถึงเส้นรอง KKN'!AY:AY)</f>
        <v>#N/A</v>
      </c>
      <c r="O118" s="26" t="e">
        <f t="shared" si="26"/>
        <v>#N/A</v>
      </c>
      <c r="P118" s="24" t="e">
        <f>_xlfn.XLOOKUP(E118,'DATA รถถึงเส้นรอง KKN'!C:C,'DATA รถถึงเส้นรอง KKN'!AZ:AZ)</f>
        <v>#N/A</v>
      </c>
      <c r="Q118" s="60" t="str">
        <f t="shared" si="14"/>
        <v/>
      </c>
      <c r="R118" s="27"/>
      <c r="S118" s="28"/>
      <c r="T118" s="59" t="e">
        <f t="shared" si="15"/>
        <v>#N/A</v>
      </c>
      <c r="V118" s="25" t="e">
        <f t="shared" si="27"/>
        <v>#N/A</v>
      </c>
      <c r="W118" s="25" t="e">
        <f t="shared" si="28"/>
        <v>#N/A</v>
      </c>
      <c r="X118" s="29" t="e">
        <f t="shared" si="29"/>
        <v>#N/A</v>
      </c>
    </row>
    <row r="119" spans="2:24" ht="20.25">
      <c r="B119" s="20">
        <v>115</v>
      </c>
      <c r="C119" s="58" t="e">
        <f>_xlfn.XLOOKUP(D:D,'DATA รถถึงเส้นรอง KKN'!A:A,'DATA รถถึงเส้นรอง KKN'!B:B)</f>
        <v>#N/A</v>
      </c>
      <c r="D119" s="32" t="e">
        <f>_xlfn.XLOOKUP(E119,'DATA รถถึงเส้นรอง KKN'!C:C,'DATA รถถึงเส้นรอง KKN'!A:A)</f>
        <v>#N/A</v>
      </c>
      <c r="E119" s="32" cm="1">
        <f t="array" ref="E119">INDEX('DATA รถถึงเส้นรอง KKN'!C:C,ROW()-3)</f>
        <v>0</v>
      </c>
      <c r="F119" s="22" t="e">
        <f>_xlfn.XLOOKUP(E119,'DATA รถถึงเส้นรอง KKN'!C:C,'DATA รถถึงเส้นรอง KKN'!O:O)</f>
        <v>#N/A</v>
      </c>
      <c r="G119" s="22" t="e">
        <f>_xlfn.XLOOKUP(E119,'DATA รถถึงเส้นรอง KKN'!C:C,'DATA รถถึงเส้นรอง KKN'!L:L)</f>
        <v>#N/A</v>
      </c>
      <c r="H119" s="22" t="e">
        <f>_xlfn.XLOOKUP(E119,#REF!,#REF!)</f>
        <v>#REF!</v>
      </c>
      <c r="I119" s="22" t="e">
        <f>_xlfn.XLOOKUP(E119,#REF!,#REF!)</f>
        <v>#REF!</v>
      </c>
      <c r="J119" s="23" t="e">
        <f>_xlfn.XLOOKUP(E119,'DATA รถถึงเส้นรอง KKN'!C:C,'DATA รถถึงเส้นรอง KKN'!AP:AP)</f>
        <v>#N/A</v>
      </c>
      <c r="K119" s="24" t="e">
        <f>_xlfn.XLOOKUP(E119,'DATA รถถึงเส้นรอง KKN'!C:C,'DATA รถถึงเส้นรอง KKN'!AV:AV)</f>
        <v>#N/A</v>
      </c>
      <c r="L119" s="25" t="e">
        <f t="shared" si="25"/>
        <v>#N/A</v>
      </c>
      <c r="M119" s="24" t="e">
        <f>_xlfn.XLOOKUP(E119,'DATA รถถึงเส้นรอง KKN'!C:C,'DATA รถถึงเส้นรอง KKN'!AW:AW)</f>
        <v>#N/A</v>
      </c>
      <c r="N119" s="24" t="e">
        <f>_xlfn.XLOOKUP(E119,'DATA รถถึงเส้นรอง KKN'!C:C,'DATA รถถึงเส้นรอง KKN'!AY:AY)</f>
        <v>#N/A</v>
      </c>
      <c r="O119" s="26" t="e">
        <f t="shared" si="26"/>
        <v>#N/A</v>
      </c>
      <c r="P119" s="24" t="e">
        <f>_xlfn.XLOOKUP(E119,'DATA รถถึงเส้นรอง KKN'!C:C,'DATA รถถึงเส้นรอง KKN'!AZ:AZ)</f>
        <v>#N/A</v>
      </c>
      <c r="Q119" s="60" t="str">
        <f t="shared" si="14"/>
        <v/>
      </c>
      <c r="R119" s="27"/>
      <c r="S119" s="28"/>
      <c r="T119" s="59" t="e">
        <f t="shared" si="15"/>
        <v>#N/A</v>
      </c>
      <c r="V119" s="25" t="e">
        <f t="shared" si="27"/>
        <v>#N/A</v>
      </c>
      <c r="W119" s="25" t="e">
        <f t="shared" si="28"/>
        <v>#N/A</v>
      </c>
      <c r="X119" s="29" t="e">
        <f t="shared" si="29"/>
        <v>#N/A</v>
      </c>
    </row>
    <row r="120" spans="2:24" ht="20.25">
      <c r="B120" s="20">
        <v>116</v>
      </c>
      <c r="C120" s="58" t="e">
        <f>_xlfn.XLOOKUP(D:D,'DATA รถถึงเส้นรอง KKN'!A:A,'DATA รถถึงเส้นรอง KKN'!B:B)</f>
        <v>#N/A</v>
      </c>
      <c r="D120" s="32" t="e">
        <f>_xlfn.XLOOKUP(E120,'DATA รถถึงเส้นรอง KKN'!C:C,'DATA รถถึงเส้นรอง KKN'!A:A)</f>
        <v>#N/A</v>
      </c>
      <c r="E120" s="32" cm="1">
        <f t="array" ref="E120">INDEX('DATA รถถึงเส้นรอง KKN'!C:C,ROW()-3)</f>
        <v>0</v>
      </c>
      <c r="F120" s="22" t="e">
        <f>_xlfn.XLOOKUP(E120,'DATA รถถึงเส้นรอง KKN'!C:C,'DATA รถถึงเส้นรอง KKN'!O:O)</f>
        <v>#N/A</v>
      </c>
      <c r="G120" s="22" t="e">
        <f>_xlfn.XLOOKUP(E120,'DATA รถถึงเส้นรอง KKN'!C:C,'DATA รถถึงเส้นรอง KKN'!L:L)</f>
        <v>#N/A</v>
      </c>
      <c r="H120" s="22" t="e">
        <f>_xlfn.XLOOKUP(E120,#REF!,#REF!)</f>
        <v>#REF!</v>
      </c>
      <c r="I120" s="22" t="e">
        <f>_xlfn.XLOOKUP(E120,#REF!,#REF!)</f>
        <v>#REF!</v>
      </c>
      <c r="J120" s="23" t="e">
        <f>_xlfn.XLOOKUP(E120,'DATA รถถึงเส้นรอง KKN'!C:C,'DATA รถถึงเส้นรอง KKN'!AP:AP)</f>
        <v>#N/A</v>
      </c>
      <c r="K120" s="24" t="e">
        <f>_xlfn.XLOOKUP(E120,'DATA รถถึงเส้นรอง KKN'!C:C,'DATA รถถึงเส้นรอง KKN'!AV:AV)</f>
        <v>#N/A</v>
      </c>
      <c r="L120" s="25" t="e">
        <f t="shared" si="25"/>
        <v>#N/A</v>
      </c>
      <c r="M120" s="24" t="e">
        <f>_xlfn.XLOOKUP(E120,'DATA รถถึงเส้นรอง KKN'!C:C,'DATA รถถึงเส้นรอง KKN'!AW:AW)</f>
        <v>#N/A</v>
      </c>
      <c r="N120" s="24" t="e">
        <f>_xlfn.XLOOKUP(E120,'DATA รถถึงเส้นรอง KKN'!C:C,'DATA รถถึงเส้นรอง KKN'!AY:AY)</f>
        <v>#N/A</v>
      </c>
      <c r="O120" s="26" t="e">
        <f t="shared" si="26"/>
        <v>#N/A</v>
      </c>
      <c r="P120" s="24" t="e">
        <f>_xlfn.XLOOKUP(E120,'DATA รถถึงเส้นรอง KKN'!C:C,'DATA รถถึงเส้นรอง KKN'!AZ:AZ)</f>
        <v>#N/A</v>
      </c>
      <c r="Q120" s="60" t="str">
        <f t="shared" si="14"/>
        <v/>
      </c>
      <c r="R120" s="27"/>
      <c r="S120" s="28"/>
      <c r="T120" s="59" t="e">
        <f t="shared" si="15"/>
        <v>#N/A</v>
      </c>
      <c r="V120" s="25" t="e">
        <f t="shared" si="27"/>
        <v>#N/A</v>
      </c>
      <c r="W120" s="25" t="e">
        <f t="shared" si="28"/>
        <v>#N/A</v>
      </c>
      <c r="X120" s="29" t="e">
        <f t="shared" si="29"/>
        <v>#N/A</v>
      </c>
    </row>
    <row r="121" spans="2:24" ht="20.25">
      <c r="B121" s="20">
        <v>117</v>
      </c>
      <c r="C121" s="58" t="e">
        <f>_xlfn.XLOOKUP(D:D,'DATA รถถึงเส้นรอง KKN'!A:A,'DATA รถถึงเส้นรอง KKN'!B:B)</f>
        <v>#N/A</v>
      </c>
      <c r="D121" s="32" t="e">
        <f>_xlfn.XLOOKUP(E121,'DATA รถถึงเส้นรอง KKN'!C:C,'DATA รถถึงเส้นรอง KKN'!A:A)</f>
        <v>#N/A</v>
      </c>
      <c r="E121" s="32" cm="1">
        <f t="array" ref="E121">INDEX('DATA รถถึงเส้นรอง KKN'!C:C,ROW()-3)</f>
        <v>0</v>
      </c>
      <c r="F121" s="22" t="e">
        <f>_xlfn.XLOOKUP(E121,'DATA รถถึงเส้นรอง KKN'!C:C,'DATA รถถึงเส้นรอง KKN'!O:O)</f>
        <v>#N/A</v>
      </c>
      <c r="G121" s="22" t="e">
        <f>_xlfn.XLOOKUP(E121,'DATA รถถึงเส้นรอง KKN'!C:C,'DATA รถถึงเส้นรอง KKN'!L:L)</f>
        <v>#N/A</v>
      </c>
      <c r="H121" s="22" t="e">
        <f>_xlfn.XLOOKUP(E121,#REF!,#REF!)</f>
        <v>#REF!</v>
      </c>
      <c r="I121" s="22" t="e">
        <f>_xlfn.XLOOKUP(E121,#REF!,#REF!)</f>
        <v>#REF!</v>
      </c>
      <c r="J121" s="23" t="e">
        <f>_xlfn.XLOOKUP(E121,'DATA รถถึงเส้นรอง KKN'!C:C,'DATA รถถึงเส้นรอง KKN'!AP:AP)</f>
        <v>#N/A</v>
      </c>
      <c r="K121" s="24" t="e">
        <f>_xlfn.XLOOKUP(E121,'DATA รถถึงเส้นรอง KKN'!C:C,'DATA รถถึงเส้นรอง KKN'!AV:AV)</f>
        <v>#N/A</v>
      </c>
      <c r="L121" s="25" t="e">
        <f t="shared" si="25"/>
        <v>#N/A</v>
      </c>
      <c r="M121" s="24" t="e">
        <f>_xlfn.XLOOKUP(E121,'DATA รถถึงเส้นรอง KKN'!C:C,'DATA รถถึงเส้นรอง KKN'!AW:AW)</f>
        <v>#N/A</v>
      </c>
      <c r="N121" s="24" t="e">
        <f>_xlfn.XLOOKUP(E121,'DATA รถถึงเส้นรอง KKN'!C:C,'DATA รถถึงเส้นรอง KKN'!AY:AY)</f>
        <v>#N/A</v>
      </c>
      <c r="O121" s="26" t="e">
        <f t="shared" si="26"/>
        <v>#N/A</v>
      </c>
      <c r="P121" s="24" t="e">
        <f>_xlfn.XLOOKUP(E121,'DATA รถถึงเส้นรอง KKN'!C:C,'DATA รถถึงเส้นรอง KKN'!AZ:AZ)</f>
        <v>#N/A</v>
      </c>
      <c r="Q121" s="60" t="str">
        <f t="shared" si="14"/>
        <v/>
      </c>
      <c r="R121" s="27"/>
      <c r="S121" s="28"/>
      <c r="T121" s="59" t="e">
        <f t="shared" si="15"/>
        <v>#N/A</v>
      </c>
      <c r="V121" s="25" t="e">
        <f t="shared" si="27"/>
        <v>#N/A</v>
      </c>
      <c r="W121" s="25" t="e">
        <f t="shared" si="28"/>
        <v>#N/A</v>
      </c>
      <c r="X121" s="29" t="e">
        <f t="shared" si="29"/>
        <v>#N/A</v>
      </c>
    </row>
    <row r="122" spans="2:24" ht="20.25">
      <c r="B122" s="20">
        <v>118</v>
      </c>
      <c r="C122" s="58" t="e">
        <f>_xlfn.XLOOKUP(D:D,'DATA รถถึงเส้นรอง KKN'!A:A,'DATA รถถึงเส้นรอง KKN'!B:B)</f>
        <v>#N/A</v>
      </c>
      <c r="D122" s="32" t="e">
        <f>_xlfn.XLOOKUP(E122,'DATA รถถึงเส้นรอง KKN'!C:C,'DATA รถถึงเส้นรอง KKN'!A:A)</f>
        <v>#N/A</v>
      </c>
      <c r="E122" s="32" cm="1">
        <f t="array" ref="E122">INDEX('DATA รถถึงเส้นรอง KKN'!C:C,ROW()-3)</f>
        <v>0</v>
      </c>
      <c r="F122" s="22" t="e">
        <f>_xlfn.XLOOKUP(E122,'DATA รถถึงเส้นรอง KKN'!C:C,'DATA รถถึงเส้นรอง KKN'!O:O)</f>
        <v>#N/A</v>
      </c>
      <c r="G122" s="22" t="e">
        <f>_xlfn.XLOOKUP(E122,'DATA รถถึงเส้นรอง KKN'!C:C,'DATA รถถึงเส้นรอง KKN'!L:L)</f>
        <v>#N/A</v>
      </c>
      <c r="H122" s="22" t="e">
        <f>_xlfn.XLOOKUP(E122,#REF!,#REF!)</f>
        <v>#REF!</v>
      </c>
      <c r="I122" s="22" t="e">
        <f>_xlfn.XLOOKUP(E122,#REF!,#REF!)</f>
        <v>#REF!</v>
      </c>
      <c r="J122" s="23" t="e">
        <f>_xlfn.XLOOKUP(E122,'DATA รถถึงเส้นรอง KKN'!C:C,'DATA รถถึงเส้นรอง KKN'!AP:AP)</f>
        <v>#N/A</v>
      </c>
      <c r="K122" s="24" t="e">
        <f>_xlfn.XLOOKUP(E122,'DATA รถถึงเส้นรอง KKN'!C:C,'DATA รถถึงเส้นรอง KKN'!AV:AV)</f>
        <v>#N/A</v>
      </c>
      <c r="L122" s="25" t="e">
        <f t="shared" si="25"/>
        <v>#N/A</v>
      </c>
      <c r="M122" s="24" t="e">
        <f>_xlfn.XLOOKUP(E122,'DATA รถถึงเส้นรอง KKN'!C:C,'DATA รถถึงเส้นรอง KKN'!AW:AW)</f>
        <v>#N/A</v>
      </c>
      <c r="N122" s="24" t="e">
        <f>_xlfn.XLOOKUP(E122,'DATA รถถึงเส้นรอง KKN'!C:C,'DATA รถถึงเส้นรอง KKN'!AY:AY)</f>
        <v>#N/A</v>
      </c>
      <c r="O122" s="26" t="e">
        <f t="shared" si="26"/>
        <v>#N/A</v>
      </c>
      <c r="P122" s="24" t="e">
        <f>_xlfn.XLOOKUP(E122,'DATA รถถึงเส้นรอง KKN'!C:C,'DATA รถถึงเส้นรอง KKN'!AZ:AZ)</f>
        <v>#N/A</v>
      </c>
      <c r="Q122" s="60" t="str">
        <f t="shared" si="14"/>
        <v/>
      </c>
      <c r="R122" s="27"/>
      <c r="S122" s="28"/>
      <c r="T122" s="59" t="e">
        <f t="shared" si="15"/>
        <v>#N/A</v>
      </c>
      <c r="V122" s="25" t="e">
        <f t="shared" si="27"/>
        <v>#N/A</v>
      </c>
      <c r="W122" s="25" t="e">
        <f t="shared" si="28"/>
        <v>#N/A</v>
      </c>
      <c r="X122" s="29" t="e">
        <f t="shared" si="29"/>
        <v>#N/A</v>
      </c>
    </row>
    <row r="123" spans="2:24" ht="20.25">
      <c r="B123" s="20">
        <v>119</v>
      </c>
      <c r="C123" s="58" t="e">
        <f>_xlfn.XLOOKUP(D:D,'DATA รถถึงเส้นรอง KKN'!A:A,'DATA รถถึงเส้นรอง KKN'!B:B)</f>
        <v>#N/A</v>
      </c>
      <c r="D123" s="32" t="e">
        <f>_xlfn.XLOOKUP(E123,'DATA รถถึงเส้นรอง KKN'!C:C,'DATA รถถึงเส้นรอง KKN'!A:A)</f>
        <v>#N/A</v>
      </c>
      <c r="E123" s="32" cm="1">
        <f t="array" ref="E123">INDEX('DATA รถถึงเส้นรอง KKN'!C:C,ROW()-3)</f>
        <v>0</v>
      </c>
      <c r="F123" s="22" t="e">
        <f>_xlfn.XLOOKUP(E123,'DATA รถถึงเส้นรอง KKN'!C:C,'DATA รถถึงเส้นรอง KKN'!O:O)</f>
        <v>#N/A</v>
      </c>
      <c r="G123" s="22" t="e">
        <f>_xlfn.XLOOKUP(E123,'DATA รถถึงเส้นรอง KKN'!C:C,'DATA รถถึงเส้นรอง KKN'!L:L)</f>
        <v>#N/A</v>
      </c>
      <c r="H123" s="22" t="e">
        <f>_xlfn.XLOOKUP(E123,#REF!,#REF!)</f>
        <v>#REF!</v>
      </c>
      <c r="I123" s="22" t="e">
        <f>_xlfn.XLOOKUP(E123,#REF!,#REF!)</f>
        <v>#REF!</v>
      </c>
      <c r="J123" s="23" t="e">
        <f>_xlfn.XLOOKUP(E123,'DATA รถถึงเส้นรอง KKN'!C:C,'DATA รถถึงเส้นรอง KKN'!AP:AP)</f>
        <v>#N/A</v>
      </c>
      <c r="K123" s="24" t="e">
        <f>_xlfn.XLOOKUP(E123,'DATA รถถึงเส้นรอง KKN'!C:C,'DATA รถถึงเส้นรอง KKN'!AV:AV)</f>
        <v>#N/A</v>
      </c>
      <c r="L123" s="25" t="e">
        <f t="shared" ref="L123:L154" si="30">M123+TIME(2,0,0)</f>
        <v>#N/A</v>
      </c>
      <c r="M123" s="24" t="e">
        <f>_xlfn.XLOOKUP(E123,'DATA รถถึงเส้นรอง KKN'!C:C,'DATA รถถึงเส้นรอง KKN'!AW:AW)</f>
        <v>#N/A</v>
      </c>
      <c r="N123" s="24" t="e">
        <f>_xlfn.XLOOKUP(E123,'DATA รถถึงเส้นรอง KKN'!C:C,'DATA รถถึงเส้นรอง KKN'!AY:AY)</f>
        <v>#N/A</v>
      </c>
      <c r="O123" s="26" t="e">
        <f t="shared" ref="O123:O154" si="31">IF(OR(N123=0,L123=0,N123="",L123=""),"ข้อมูลไม่ครบ",IF(TEXT(N123,"hh:mm:ss")&gt;TEXT(L123,"hh:mm:ss"),"เกินเวลาลงพัสดุ","อยู่ในเวลาที่ควรลง"))</f>
        <v>#N/A</v>
      </c>
      <c r="P123" s="24" t="e">
        <f>_xlfn.XLOOKUP(E123,'DATA รถถึงเส้นรอง KKN'!C:C,'DATA รถถึงเส้นรอง KKN'!AZ:AZ)</f>
        <v>#N/A</v>
      </c>
      <c r="Q123" s="60" t="str">
        <f t="shared" si="14"/>
        <v/>
      </c>
      <c r="R123" s="27"/>
      <c r="S123" s="28"/>
      <c r="T123" s="59" t="e">
        <f t="shared" si="15"/>
        <v>#N/A</v>
      </c>
      <c r="V123" s="25" t="e">
        <f t="shared" ref="V123:V154" si="32">RIGHT(P123,8)</f>
        <v>#N/A</v>
      </c>
      <c r="W123" s="25" t="e">
        <f t="shared" ref="W123:W154" si="33">RIGHT(N123,8)</f>
        <v>#N/A</v>
      </c>
      <c r="X123" s="29" t="e">
        <f t="shared" ref="X123:X154" si="34">MOD(V123-W123,1)</f>
        <v>#N/A</v>
      </c>
    </row>
    <row r="124" spans="2:24" ht="20.25">
      <c r="B124" s="20">
        <v>120</v>
      </c>
      <c r="C124" s="58" t="e">
        <f>_xlfn.XLOOKUP(D:D,'DATA รถถึงเส้นรอง KKN'!A:A,'DATA รถถึงเส้นรอง KKN'!B:B)</f>
        <v>#N/A</v>
      </c>
      <c r="D124" s="32" t="e">
        <f>_xlfn.XLOOKUP(E124,'DATA รถถึงเส้นรอง KKN'!C:C,'DATA รถถึงเส้นรอง KKN'!A:A)</f>
        <v>#N/A</v>
      </c>
      <c r="E124" s="32" cm="1">
        <f t="array" ref="E124">INDEX('DATA รถถึงเส้นรอง KKN'!C:C,ROW()-3)</f>
        <v>0</v>
      </c>
      <c r="F124" s="22" t="e">
        <f>_xlfn.XLOOKUP(E124,'DATA รถถึงเส้นรอง KKN'!C:C,'DATA รถถึงเส้นรอง KKN'!O:O)</f>
        <v>#N/A</v>
      </c>
      <c r="G124" s="22" t="e">
        <f>_xlfn.XLOOKUP(E124,'DATA รถถึงเส้นรอง KKN'!C:C,'DATA รถถึงเส้นรอง KKN'!L:L)</f>
        <v>#N/A</v>
      </c>
      <c r="H124" s="22" t="e">
        <f>_xlfn.XLOOKUP(E124,#REF!,#REF!)</f>
        <v>#REF!</v>
      </c>
      <c r="I124" s="22" t="e">
        <f>_xlfn.XLOOKUP(E124,#REF!,#REF!)</f>
        <v>#REF!</v>
      </c>
      <c r="J124" s="23" t="e">
        <f>_xlfn.XLOOKUP(E124,'DATA รถถึงเส้นรอง KKN'!C:C,'DATA รถถึงเส้นรอง KKN'!AP:AP)</f>
        <v>#N/A</v>
      </c>
      <c r="K124" s="24" t="e">
        <f>_xlfn.XLOOKUP(E124,'DATA รถถึงเส้นรอง KKN'!C:C,'DATA รถถึงเส้นรอง KKN'!AV:AV)</f>
        <v>#N/A</v>
      </c>
      <c r="L124" s="25" t="e">
        <f t="shared" si="30"/>
        <v>#N/A</v>
      </c>
      <c r="M124" s="24" t="e">
        <f>_xlfn.XLOOKUP(E124,'DATA รถถึงเส้นรอง KKN'!C:C,'DATA รถถึงเส้นรอง KKN'!AW:AW)</f>
        <v>#N/A</v>
      </c>
      <c r="N124" s="24" t="e">
        <f>_xlfn.XLOOKUP(E124,'DATA รถถึงเส้นรอง KKN'!C:C,'DATA รถถึงเส้นรอง KKN'!AY:AY)</f>
        <v>#N/A</v>
      </c>
      <c r="O124" s="26" t="e">
        <f t="shared" si="31"/>
        <v>#N/A</v>
      </c>
      <c r="P124" s="24" t="e">
        <f>_xlfn.XLOOKUP(E124,'DATA รถถึงเส้นรอง KKN'!C:C,'DATA รถถึงเส้นรอง KKN'!AZ:AZ)</f>
        <v>#N/A</v>
      </c>
      <c r="Q124" s="60" t="str">
        <f t="shared" si="14"/>
        <v/>
      </c>
      <c r="R124" s="27"/>
      <c r="S124" s="28"/>
      <c r="T124" s="59" t="e">
        <f t="shared" si="15"/>
        <v>#N/A</v>
      </c>
      <c r="V124" s="25" t="e">
        <f t="shared" si="32"/>
        <v>#N/A</v>
      </c>
      <c r="W124" s="25" t="e">
        <f t="shared" si="33"/>
        <v>#N/A</v>
      </c>
      <c r="X124" s="29" t="e">
        <f t="shared" si="34"/>
        <v>#N/A</v>
      </c>
    </row>
    <row r="125" spans="2:24" ht="20.25">
      <c r="B125" s="20">
        <v>121</v>
      </c>
      <c r="C125" s="58" t="e">
        <f>_xlfn.XLOOKUP(D:D,'DATA รถถึงเส้นรอง KKN'!A:A,'DATA รถถึงเส้นรอง KKN'!B:B)</f>
        <v>#N/A</v>
      </c>
      <c r="D125" s="32" t="e">
        <f>_xlfn.XLOOKUP(E125,'DATA รถถึงเส้นรอง KKN'!C:C,'DATA รถถึงเส้นรอง KKN'!A:A)</f>
        <v>#N/A</v>
      </c>
      <c r="E125" s="32" cm="1">
        <f t="array" ref="E125">INDEX('DATA รถถึงเส้นรอง KKN'!C:C,ROW()-3)</f>
        <v>0</v>
      </c>
      <c r="F125" s="22" t="e">
        <f>_xlfn.XLOOKUP(E125,'DATA รถถึงเส้นรอง KKN'!C:C,'DATA รถถึงเส้นรอง KKN'!O:O)</f>
        <v>#N/A</v>
      </c>
      <c r="G125" s="22" t="e">
        <f>_xlfn.XLOOKUP(E125,'DATA รถถึงเส้นรอง KKN'!C:C,'DATA รถถึงเส้นรอง KKN'!L:L)</f>
        <v>#N/A</v>
      </c>
      <c r="H125" s="22" t="e">
        <f>_xlfn.XLOOKUP(E125,#REF!,#REF!)</f>
        <v>#REF!</v>
      </c>
      <c r="I125" s="22" t="e">
        <f>_xlfn.XLOOKUP(E125,#REF!,#REF!)</f>
        <v>#REF!</v>
      </c>
      <c r="J125" s="23" t="e">
        <f>_xlfn.XLOOKUP(E125,'DATA รถถึงเส้นรอง KKN'!C:C,'DATA รถถึงเส้นรอง KKN'!AP:AP)</f>
        <v>#N/A</v>
      </c>
      <c r="K125" s="24" t="e">
        <f>_xlfn.XLOOKUP(E125,'DATA รถถึงเส้นรอง KKN'!C:C,'DATA รถถึงเส้นรอง KKN'!AV:AV)</f>
        <v>#N/A</v>
      </c>
      <c r="L125" s="25" t="e">
        <f t="shared" si="30"/>
        <v>#N/A</v>
      </c>
      <c r="M125" s="24" t="e">
        <f>_xlfn.XLOOKUP(E125,'DATA รถถึงเส้นรอง KKN'!C:C,'DATA รถถึงเส้นรอง KKN'!AW:AW)</f>
        <v>#N/A</v>
      </c>
      <c r="N125" s="24" t="e">
        <f>_xlfn.XLOOKUP(E125,'DATA รถถึงเส้นรอง KKN'!C:C,'DATA รถถึงเส้นรอง KKN'!AY:AY)</f>
        <v>#N/A</v>
      </c>
      <c r="O125" s="26" t="e">
        <f t="shared" si="31"/>
        <v>#N/A</v>
      </c>
      <c r="P125" s="24" t="e">
        <f>_xlfn.XLOOKUP(E125,'DATA รถถึงเส้นรอง KKN'!C:C,'DATA รถถึงเส้นรอง KKN'!AZ:AZ)</f>
        <v>#N/A</v>
      </c>
      <c r="Q125" s="60" t="str">
        <f t="shared" si="14"/>
        <v/>
      </c>
      <c r="R125" s="27"/>
      <c r="S125" s="28"/>
      <c r="T125" s="59" t="e">
        <f t="shared" si="15"/>
        <v>#N/A</v>
      </c>
      <c r="V125" s="25" t="e">
        <f t="shared" si="32"/>
        <v>#N/A</v>
      </c>
      <c r="W125" s="25" t="e">
        <f t="shared" si="33"/>
        <v>#N/A</v>
      </c>
      <c r="X125" s="29" t="e">
        <f t="shared" si="34"/>
        <v>#N/A</v>
      </c>
    </row>
    <row r="126" spans="2:24" ht="20.25">
      <c r="B126" s="20">
        <v>122</v>
      </c>
      <c r="C126" s="58" t="e">
        <f>_xlfn.XLOOKUP(D:D,'DATA รถถึงเส้นรอง KKN'!A:A,'DATA รถถึงเส้นรอง KKN'!B:B)</f>
        <v>#N/A</v>
      </c>
      <c r="D126" s="32" t="e">
        <f>_xlfn.XLOOKUP(E126,'DATA รถถึงเส้นรอง KKN'!C:C,'DATA รถถึงเส้นรอง KKN'!A:A)</f>
        <v>#N/A</v>
      </c>
      <c r="E126" s="32" cm="1">
        <f t="array" ref="E126">INDEX('DATA รถถึงเส้นรอง KKN'!C:C,ROW()-3)</f>
        <v>0</v>
      </c>
      <c r="F126" s="22" t="e">
        <f>_xlfn.XLOOKUP(E126,'DATA รถถึงเส้นรอง KKN'!C:C,'DATA รถถึงเส้นรอง KKN'!O:O)</f>
        <v>#N/A</v>
      </c>
      <c r="G126" s="22" t="e">
        <f>_xlfn.XLOOKUP(E126,'DATA รถถึงเส้นรอง KKN'!C:C,'DATA รถถึงเส้นรอง KKN'!L:L)</f>
        <v>#N/A</v>
      </c>
      <c r="H126" s="22" t="e">
        <f>_xlfn.XLOOKUP(E126,#REF!,#REF!)</f>
        <v>#REF!</v>
      </c>
      <c r="I126" s="22" t="e">
        <f>_xlfn.XLOOKUP(E126,#REF!,#REF!)</f>
        <v>#REF!</v>
      </c>
      <c r="J126" s="23" t="e">
        <f>_xlfn.XLOOKUP(E126,'DATA รถถึงเส้นรอง KKN'!C:C,'DATA รถถึงเส้นรอง KKN'!AP:AP)</f>
        <v>#N/A</v>
      </c>
      <c r="K126" s="24" t="e">
        <f>_xlfn.XLOOKUP(E126,'DATA รถถึงเส้นรอง KKN'!C:C,'DATA รถถึงเส้นรอง KKN'!AV:AV)</f>
        <v>#N/A</v>
      </c>
      <c r="L126" s="25" t="e">
        <f t="shared" si="30"/>
        <v>#N/A</v>
      </c>
      <c r="M126" s="24" t="e">
        <f>_xlfn.XLOOKUP(E126,'DATA รถถึงเส้นรอง KKN'!C:C,'DATA รถถึงเส้นรอง KKN'!AW:AW)</f>
        <v>#N/A</v>
      </c>
      <c r="N126" s="24" t="e">
        <f>_xlfn.XLOOKUP(E126,'DATA รถถึงเส้นรอง KKN'!C:C,'DATA รถถึงเส้นรอง KKN'!AY:AY)</f>
        <v>#N/A</v>
      </c>
      <c r="O126" s="26" t="e">
        <f t="shared" si="31"/>
        <v>#N/A</v>
      </c>
      <c r="P126" s="24" t="e">
        <f>_xlfn.XLOOKUP(E126,'DATA รถถึงเส้นรอง KKN'!C:C,'DATA รถถึงเส้นรอง KKN'!AZ:AZ)</f>
        <v>#N/A</v>
      </c>
      <c r="Q126" s="60" t="str">
        <f t="shared" si="14"/>
        <v/>
      </c>
      <c r="R126" s="27"/>
      <c r="S126" s="28"/>
      <c r="T126" s="59" t="e">
        <f t="shared" si="15"/>
        <v>#N/A</v>
      </c>
      <c r="V126" s="25" t="e">
        <f t="shared" si="32"/>
        <v>#N/A</v>
      </c>
      <c r="W126" s="25" t="e">
        <f t="shared" si="33"/>
        <v>#N/A</v>
      </c>
      <c r="X126" s="29" t="e">
        <f t="shared" si="34"/>
        <v>#N/A</v>
      </c>
    </row>
    <row r="127" spans="2:24" ht="20.25">
      <c r="B127" s="20">
        <v>123</v>
      </c>
      <c r="C127" s="58" t="e">
        <f>_xlfn.XLOOKUP(D:D,'DATA รถถึงเส้นรอง KKN'!A:A,'DATA รถถึงเส้นรอง KKN'!B:B)</f>
        <v>#N/A</v>
      </c>
      <c r="D127" s="32" t="e">
        <f>_xlfn.XLOOKUP(E127,'DATA รถถึงเส้นรอง KKN'!C:C,'DATA รถถึงเส้นรอง KKN'!A:A)</f>
        <v>#N/A</v>
      </c>
      <c r="E127" s="32" cm="1">
        <f t="array" ref="E127">INDEX('DATA รถถึงเส้นรอง KKN'!C:C,ROW()-3)</f>
        <v>0</v>
      </c>
      <c r="F127" s="22" t="e">
        <f>_xlfn.XLOOKUP(E127,'DATA รถถึงเส้นรอง KKN'!C:C,'DATA รถถึงเส้นรอง KKN'!O:O)</f>
        <v>#N/A</v>
      </c>
      <c r="G127" s="22" t="e">
        <f>_xlfn.XLOOKUP(E127,'DATA รถถึงเส้นรอง KKN'!C:C,'DATA รถถึงเส้นรอง KKN'!L:L)</f>
        <v>#N/A</v>
      </c>
      <c r="H127" s="22" t="e">
        <f>_xlfn.XLOOKUP(E127,#REF!,#REF!)</f>
        <v>#REF!</v>
      </c>
      <c r="I127" s="22" t="e">
        <f>_xlfn.XLOOKUP(E127,#REF!,#REF!)</f>
        <v>#REF!</v>
      </c>
      <c r="J127" s="23" t="e">
        <f>_xlfn.XLOOKUP(E127,'DATA รถถึงเส้นรอง KKN'!C:C,'DATA รถถึงเส้นรอง KKN'!AP:AP)</f>
        <v>#N/A</v>
      </c>
      <c r="K127" s="24" t="e">
        <f>_xlfn.XLOOKUP(E127,'DATA รถถึงเส้นรอง KKN'!C:C,'DATA รถถึงเส้นรอง KKN'!AV:AV)</f>
        <v>#N/A</v>
      </c>
      <c r="L127" s="25" t="e">
        <f t="shared" si="30"/>
        <v>#N/A</v>
      </c>
      <c r="M127" s="24" t="e">
        <f>_xlfn.XLOOKUP(E127,'DATA รถถึงเส้นรอง KKN'!C:C,'DATA รถถึงเส้นรอง KKN'!AW:AW)</f>
        <v>#N/A</v>
      </c>
      <c r="N127" s="24" t="e">
        <f>_xlfn.XLOOKUP(E127,'DATA รถถึงเส้นรอง KKN'!C:C,'DATA รถถึงเส้นรอง KKN'!AY:AY)</f>
        <v>#N/A</v>
      </c>
      <c r="O127" s="26" t="e">
        <f t="shared" si="31"/>
        <v>#N/A</v>
      </c>
      <c r="P127" s="24" t="e">
        <f>_xlfn.XLOOKUP(E127,'DATA รถถึงเส้นรอง KKN'!C:C,'DATA รถถึงเส้นรอง KKN'!AZ:AZ)</f>
        <v>#N/A</v>
      </c>
      <c r="Q127" s="60" t="str">
        <f t="shared" si="14"/>
        <v/>
      </c>
      <c r="R127" s="27"/>
      <c r="S127" s="28"/>
      <c r="T127" s="59" t="e">
        <f t="shared" si="15"/>
        <v>#N/A</v>
      </c>
      <c r="V127" s="25" t="e">
        <f t="shared" si="32"/>
        <v>#N/A</v>
      </c>
      <c r="W127" s="25" t="e">
        <f t="shared" si="33"/>
        <v>#N/A</v>
      </c>
      <c r="X127" s="29" t="e">
        <f t="shared" si="34"/>
        <v>#N/A</v>
      </c>
    </row>
    <row r="128" spans="2:24" ht="20.25">
      <c r="B128" s="20">
        <v>124</v>
      </c>
      <c r="C128" s="58" t="e">
        <f>_xlfn.XLOOKUP(D:D,'DATA รถถึงเส้นรอง KKN'!A:A,'DATA รถถึงเส้นรอง KKN'!B:B)</f>
        <v>#N/A</v>
      </c>
      <c r="D128" s="32" t="e">
        <f>_xlfn.XLOOKUP(E128,'DATA รถถึงเส้นรอง KKN'!C:C,'DATA รถถึงเส้นรอง KKN'!A:A)</f>
        <v>#N/A</v>
      </c>
      <c r="E128" s="32" cm="1">
        <f t="array" ref="E128">INDEX('DATA รถถึงเส้นรอง KKN'!C:C,ROW()-3)</f>
        <v>0</v>
      </c>
      <c r="F128" s="22" t="e">
        <f>_xlfn.XLOOKUP(E128,'DATA รถถึงเส้นรอง KKN'!C:C,'DATA รถถึงเส้นรอง KKN'!O:O)</f>
        <v>#N/A</v>
      </c>
      <c r="G128" s="22" t="e">
        <f>_xlfn.XLOOKUP(E128,'DATA รถถึงเส้นรอง KKN'!C:C,'DATA รถถึงเส้นรอง KKN'!L:L)</f>
        <v>#N/A</v>
      </c>
      <c r="H128" s="22" t="e">
        <f>_xlfn.XLOOKUP(E128,#REF!,#REF!)</f>
        <v>#REF!</v>
      </c>
      <c r="I128" s="22" t="e">
        <f>_xlfn.XLOOKUP(E128,#REF!,#REF!)</f>
        <v>#REF!</v>
      </c>
      <c r="J128" s="23" t="e">
        <f>_xlfn.XLOOKUP(E128,'DATA รถถึงเส้นรอง KKN'!C:C,'DATA รถถึงเส้นรอง KKN'!AP:AP)</f>
        <v>#N/A</v>
      </c>
      <c r="K128" s="24" t="e">
        <f>_xlfn.XLOOKUP(E128,'DATA รถถึงเส้นรอง KKN'!C:C,'DATA รถถึงเส้นรอง KKN'!AV:AV)</f>
        <v>#N/A</v>
      </c>
      <c r="L128" s="25" t="e">
        <f t="shared" si="30"/>
        <v>#N/A</v>
      </c>
      <c r="M128" s="24" t="e">
        <f>_xlfn.XLOOKUP(E128,'DATA รถถึงเส้นรอง KKN'!C:C,'DATA รถถึงเส้นรอง KKN'!AW:AW)</f>
        <v>#N/A</v>
      </c>
      <c r="N128" s="24" t="e">
        <f>_xlfn.XLOOKUP(E128,'DATA รถถึงเส้นรอง KKN'!C:C,'DATA รถถึงเส้นรอง KKN'!AY:AY)</f>
        <v>#N/A</v>
      </c>
      <c r="O128" s="26" t="e">
        <f t="shared" si="31"/>
        <v>#N/A</v>
      </c>
      <c r="P128" s="24" t="e">
        <f>_xlfn.XLOOKUP(E128,'DATA รถถึงเส้นรอง KKN'!C:C,'DATA รถถึงเส้นรอง KKN'!AZ:AZ)</f>
        <v>#N/A</v>
      </c>
      <c r="Q128" s="60" t="str">
        <f t="shared" si="14"/>
        <v/>
      </c>
      <c r="R128" s="27"/>
      <c r="S128" s="28"/>
      <c r="T128" s="59" t="e">
        <f t="shared" si="15"/>
        <v>#N/A</v>
      </c>
      <c r="V128" s="25" t="e">
        <f t="shared" si="32"/>
        <v>#N/A</v>
      </c>
      <c r="W128" s="25" t="e">
        <f t="shared" si="33"/>
        <v>#N/A</v>
      </c>
      <c r="X128" s="29" t="e">
        <f t="shared" si="34"/>
        <v>#N/A</v>
      </c>
    </row>
    <row r="129" spans="2:24" ht="20.25">
      <c r="B129" s="20">
        <v>125</v>
      </c>
      <c r="C129" s="58" t="e">
        <f>_xlfn.XLOOKUP(D:D,'DATA รถถึงเส้นรอง KKN'!A:A,'DATA รถถึงเส้นรอง KKN'!B:B)</f>
        <v>#N/A</v>
      </c>
      <c r="D129" s="32" t="e">
        <f>_xlfn.XLOOKUP(E129,'DATA รถถึงเส้นรอง KKN'!C:C,'DATA รถถึงเส้นรอง KKN'!A:A)</f>
        <v>#N/A</v>
      </c>
      <c r="E129" s="32" cm="1">
        <f t="array" ref="E129">INDEX('DATA รถถึงเส้นรอง KKN'!C:C,ROW()-3)</f>
        <v>0</v>
      </c>
      <c r="F129" s="22" t="e">
        <f>_xlfn.XLOOKUP(E129,'DATA รถถึงเส้นรอง KKN'!C:C,'DATA รถถึงเส้นรอง KKN'!O:O)</f>
        <v>#N/A</v>
      </c>
      <c r="G129" s="22" t="e">
        <f>_xlfn.XLOOKUP(E129,'DATA รถถึงเส้นรอง KKN'!C:C,'DATA รถถึงเส้นรอง KKN'!L:L)</f>
        <v>#N/A</v>
      </c>
      <c r="H129" s="22" t="e">
        <f>_xlfn.XLOOKUP(E129,#REF!,#REF!)</f>
        <v>#REF!</v>
      </c>
      <c r="I129" s="22" t="e">
        <f>_xlfn.XLOOKUP(E129,#REF!,#REF!)</f>
        <v>#REF!</v>
      </c>
      <c r="J129" s="23" t="e">
        <f>_xlfn.XLOOKUP(E129,'DATA รถถึงเส้นรอง KKN'!C:C,'DATA รถถึงเส้นรอง KKN'!AP:AP)</f>
        <v>#N/A</v>
      </c>
      <c r="K129" s="24" t="e">
        <f>_xlfn.XLOOKUP(E129,'DATA รถถึงเส้นรอง KKN'!C:C,'DATA รถถึงเส้นรอง KKN'!AV:AV)</f>
        <v>#N/A</v>
      </c>
      <c r="L129" s="25" t="e">
        <f t="shared" si="30"/>
        <v>#N/A</v>
      </c>
      <c r="M129" s="24" t="e">
        <f>_xlfn.XLOOKUP(E129,'DATA รถถึงเส้นรอง KKN'!C:C,'DATA รถถึงเส้นรอง KKN'!AW:AW)</f>
        <v>#N/A</v>
      </c>
      <c r="N129" s="24" t="e">
        <f>_xlfn.XLOOKUP(E129,'DATA รถถึงเส้นรอง KKN'!C:C,'DATA รถถึงเส้นรอง KKN'!AY:AY)</f>
        <v>#N/A</v>
      </c>
      <c r="O129" s="26" t="e">
        <f t="shared" si="31"/>
        <v>#N/A</v>
      </c>
      <c r="P129" s="24" t="e">
        <f>_xlfn.XLOOKUP(E129,'DATA รถถึงเส้นรอง KKN'!C:C,'DATA รถถึงเส้นรอง KKN'!AZ:AZ)</f>
        <v>#N/A</v>
      </c>
      <c r="Q129" s="60" t="str">
        <f t="shared" si="14"/>
        <v/>
      </c>
      <c r="R129" s="27"/>
      <c r="S129" s="28"/>
      <c r="T129" s="59" t="e">
        <f t="shared" si="15"/>
        <v>#N/A</v>
      </c>
      <c r="V129" s="25" t="e">
        <f t="shared" si="32"/>
        <v>#N/A</v>
      </c>
      <c r="W129" s="25" t="e">
        <f t="shared" si="33"/>
        <v>#N/A</v>
      </c>
      <c r="X129" s="29" t="e">
        <f t="shared" si="34"/>
        <v>#N/A</v>
      </c>
    </row>
    <row r="130" spans="2:24" ht="20.25">
      <c r="B130" s="20">
        <v>126</v>
      </c>
      <c r="C130" s="58" t="e">
        <f>_xlfn.XLOOKUP(D:D,'DATA รถถึงเส้นรอง KKN'!A:A,'DATA รถถึงเส้นรอง KKN'!B:B)</f>
        <v>#N/A</v>
      </c>
      <c r="D130" s="32" t="e">
        <f>_xlfn.XLOOKUP(E130,'DATA รถถึงเส้นรอง KKN'!C:C,'DATA รถถึงเส้นรอง KKN'!A:A)</f>
        <v>#N/A</v>
      </c>
      <c r="E130" s="32" cm="1">
        <f t="array" ref="E130">INDEX('DATA รถถึงเส้นรอง KKN'!C:C,ROW()-3)</f>
        <v>0</v>
      </c>
      <c r="F130" s="22" t="e">
        <f>_xlfn.XLOOKUP(E130,'DATA รถถึงเส้นรอง KKN'!C:C,'DATA รถถึงเส้นรอง KKN'!O:O)</f>
        <v>#N/A</v>
      </c>
      <c r="G130" s="22" t="e">
        <f>_xlfn.XLOOKUP(E130,'DATA รถถึงเส้นรอง KKN'!C:C,'DATA รถถึงเส้นรอง KKN'!L:L)</f>
        <v>#N/A</v>
      </c>
      <c r="H130" s="22" t="e">
        <f>_xlfn.XLOOKUP(E130,#REF!,#REF!)</f>
        <v>#REF!</v>
      </c>
      <c r="I130" s="22" t="e">
        <f>_xlfn.XLOOKUP(E130,#REF!,#REF!)</f>
        <v>#REF!</v>
      </c>
      <c r="J130" s="23" t="e">
        <f>_xlfn.XLOOKUP(E130,'DATA รถถึงเส้นรอง KKN'!C:C,'DATA รถถึงเส้นรอง KKN'!AP:AP)</f>
        <v>#N/A</v>
      </c>
      <c r="K130" s="24" t="e">
        <f>_xlfn.XLOOKUP(E130,'DATA รถถึงเส้นรอง KKN'!C:C,'DATA รถถึงเส้นรอง KKN'!AV:AV)</f>
        <v>#N/A</v>
      </c>
      <c r="L130" s="25" t="e">
        <f t="shared" si="30"/>
        <v>#N/A</v>
      </c>
      <c r="M130" s="24" t="e">
        <f>_xlfn.XLOOKUP(E130,'DATA รถถึงเส้นรอง KKN'!C:C,'DATA รถถึงเส้นรอง KKN'!AW:AW)</f>
        <v>#N/A</v>
      </c>
      <c r="N130" s="24" t="e">
        <f>_xlfn.XLOOKUP(E130,'DATA รถถึงเส้นรอง KKN'!C:C,'DATA รถถึงเส้นรอง KKN'!AY:AY)</f>
        <v>#N/A</v>
      </c>
      <c r="O130" s="26" t="e">
        <f t="shared" si="31"/>
        <v>#N/A</v>
      </c>
      <c r="P130" s="24" t="e">
        <f>_xlfn.XLOOKUP(E130,'DATA รถถึงเส้นรอง KKN'!C:C,'DATA รถถึงเส้นรอง KKN'!AZ:AZ)</f>
        <v>#N/A</v>
      </c>
      <c r="Q130" s="60" t="str">
        <f t="shared" si="14"/>
        <v/>
      </c>
      <c r="R130" s="27"/>
      <c r="S130" s="28"/>
      <c r="T130" s="59" t="e">
        <f t="shared" si="15"/>
        <v>#N/A</v>
      </c>
      <c r="V130" s="25" t="e">
        <f t="shared" si="32"/>
        <v>#N/A</v>
      </c>
      <c r="W130" s="25" t="e">
        <f t="shared" si="33"/>
        <v>#N/A</v>
      </c>
      <c r="X130" s="29" t="e">
        <f t="shared" si="34"/>
        <v>#N/A</v>
      </c>
    </row>
    <row r="131" spans="2:24" ht="20.25">
      <c r="B131" s="20">
        <v>127</v>
      </c>
      <c r="C131" s="58" t="e">
        <f>_xlfn.XLOOKUP(D:D,'DATA รถถึงเส้นรอง KKN'!A:A,'DATA รถถึงเส้นรอง KKN'!B:B)</f>
        <v>#N/A</v>
      </c>
      <c r="D131" s="32" t="e">
        <f>_xlfn.XLOOKUP(E131,'DATA รถถึงเส้นรอง KKN'!C:C,'DATA รถถึงเส้นรอง KKN'!A:A)</f>
        <v>#N/A</v>
      </c>
      <c r="E131" s="32" cm="1">
        <f t="array" ref="E131">INDEX('DATA รถถึงเส้นรอง KKN'!C:C,ROW()-3)</f>
        <v>0</v>
      </c>
      <c r="F131" s="22" t="e">
        <f>_xlfn.XLOOKUP(E131,'DATA รถถึงเส้นรอง KKN'!C:C,'DATA รถถึงเส้นรอง KKN'!O:O)</f>
        <v>#N/A</v>
      </c>
      <c r="G131" s="22" t="e">
        <f>_xlfn.XLOOKUP(E131,'DATA รถถึงเส้นรอง KKN'!C:C,'DATA รถถึงเส้นรอง KKN'!L:L)</f>
        <v>#N/A</v>
      </c>
      <c r="H131" s="22" t="e">
        <f>_xlfn.XLOOKUP(E131,#REF!,#REF!)</f>
        <v>#REF!</v>
      </c>
      <c r="I131" s="22" t="e">
        <f>_xlfn.XLOOKUP(E131,#REF!,#REF!)</f>
        <v>#REF!</v>
      </c>
      <c r="J131" s="23" t="e">
        <f>_xlfn.XLOOKUP(E131,'DATA รถถึงเส้นรอง KKN'!C:C,'DATA รถถึงเส้นรอง KKN'!AP:AP)</f>
        <v>#N/A</v>
      </c>
      <c r="K131" s="24" t="e">
        <f>_xlfn.XLOOKUP(E131,'DATA รถถึงเส้นรอง KKN'!C:C,'DATA รถถึงเส้นรอง KKN'!AV:AV)</f>
        <v>#N/A</v>
      </c>
      <c r="L131" s="25" t="e">
        <f t="shared" si="30"/>
        <v>#N/A</v>
      </c>
      <c r="M131" s="24" t="e">
        <f>_xlfn.XLOOKUP(E131,'DATA รถถึงเส้นรอง KKN'!C:C,'DATA รถถึงเส้นรอง KKN'!AW:AW)</f>
        <v>#N/A</v>
      </c>
      <c r="N131" s="24" t="e">
        <f>_xlfn.XLOOKUP(E131,'DATA รถถึงเส้นรอง KKN'!C:C,'DATA รถถึงเส้นรอง KKN'!AY:AY)</f>
        <v>#N/A</v>
      </c>
      <c r="O131" s="26" t="e">
        <f t="shared" si="31"/>
        <v>#N/A</v>
      </c>
      <c r="P131" s="24" t="e">
        <f>_xlfn.XLOOKUP(E131,'DATA รถถึงเส้นรอง KKN'!C:C,'DATA รถถึงเส้นรอง KKN'!AZ:AZ)</f>
        <v>#N/A</v>
      </c>
      <c r="Q131" s="60" t="str">
        <f t="shared" si="14"/>
        <v/>
      </c>
      <c r="R131" s="27"/>
      <c r="S131" s="28"/>
      <c r="T131" s="59" t="e">
        <f t="shared" si="15"/>
        <v>#N/A</v>
      </c>
      <c r="V131" s="25" t="e">
        <f t="shared" si="32"/>
        <v>#N/A</v>
      </c>
      <c r="W131" s="25" t="e">
        <f t="shared" si="33"/>
        <v>#N/A</v>
      </c>
      <c r="X131" s="29" t="e">
        <f t="shared" si="34"/>
        <v>#N/A</v>
      </c>
    </row>
    <row r="132" spans="2:24" ht="20.25">
      <c r="B132" s="20">
        <v>128</v>
      </c>
      <c r="C132" s="58" t="e">
        <f>_xlfn.XLOOKUP(D:D,'DATA รถถึงเส้นรอง KKN'!A:A,'DATA รถถึงเส้นรอง KKN'!B:B)</f>
        <v>#N/A</v>
      </c>
      <c r="D132" s="32" t="e">
        <f>_xlfn.XLOOKUP(E132,'DATA รถถึงเส้นรอง KKN'!C:C,'DATA รถถึงเส้นรอง KKN'!A:A)</f>
        <v>#N/A</v>
      </c>
      <c r="E132" s="32" cm="1">
        <f t="array" ref="E132">INDEX('DATA รถถึงเส้นรอง KKN'!C:C,ROW()-3)</f>
        <v>0</v>
      </c>
      <c r="F132" s="22" t="e">
        <f>_xlfn.XLOOKUP(E132,'DATA รถถึงเส้นรอง KKN'!C:C,'DATA รถถึงเส้นรอง KKN'!O:O)</f>
        <v>#N/A</v>
      </c>
      <c r="G132" s="22" t="e">
        <f>_xlfn.XLOOKUP(E132,'DATA รถถึงเส้นรอง KKN'!C:C,'DATA รถถึงเส้นรอง KKN'!L:L)</f>
        <v>#N/A</v>
      </c>
      <c r="H132" s="22" t="e">
        <f>_xlfn.XLOOKUP(E132,#REF!,#REF!)</f>
        <v>#REF!</v>
      </c>
      <c r="I132" s="22" t="e">
        <f>_xlfn.XLOOKUP(E132,#REF!,#REF!)</f>
        <v>#REF!</v>
      </c>
      <c r="J132" s="23" t="e">
        <f>_xlfn.XLOOKUP(E132,'DATA รถถึงเส้นรอง KKN'!C:C,'DATA รถถึงเส้นรอง KKN'!AP:AP)</f>
        <v>#N/A</v>
      </c>
      <c r="K132" s="24" t="e">
        <f>_xlfn.XLOOKUP(E132,'DATA รถถึงเส้นรอง KKN'!C:C,'DATA รถถึงเส้นรอง KKN'!AV:AV)</f>
        <v>#N/A</v>
      </c>
      <c r="L132" s="25" t="e">
        <f t="shared" si="30"/>
        <v>#N/A</v>
      </c>
      <c r="M132" s="24" t="e">
        <f>_xlfn.XLOOKUP(E132,'DATA รถถึงเส้นรอง KKN'!C:C,'DATA รถถึงเส้นรอง KKN'!AW:AW)</f>
        <v>#N/A</v>
      </c>
      <c r="N132" s="24" t="e">
        <f>_xlfn.XLOOKUP(E132,'DATA รถถึงเส้นรอง KKN'!C:C,'DATA รถถึงเส้นรอง KKN'!AY:AY)</f>
        <v>#N/A</v>
      </c>
      <c r="O132" s="26" t="e">
        <f t="shared" si="31"/>
        <v>#N/A</v>
      </c>
      <c r="P132" s="24" t="e">
        <f>_xlfn.XLOOKUP(E132,'DATA รถถึงเส้นรอง KKN'!C:C,'DATA รถถึงเส้นรอง KKN'!AZ:AZ)</f>
        <v>#N/A</v>
      </c>
      <c r="Q132" s="60" t="str">
        <f t="shared" si="14"/>
        <v/>
      </c>
      <c r="R132" s="27"/>
      <c r="S132" s="28"/>
      <c r="T132" s="59" t="e">
        <f t="shared" si="15"/>
        <v>#N/A</v>
      </c>
      <c r="V132" s="25" t="e">
        <f t="shared" si="32"/>
        <v>#N/A</v>
      </c>
      <c r="W132" s="25" t="e">
        <f t="shared" si="33"/>
        <v>#N/A</v>
      </c>
      <c r="X132" s="29" t="e">
        <f t="shared" si="34"/>
        <v>#N/A</v>
      </c>
    </row>
    <row r="133" spans="2:24" ht="20.25">
      <c r="B133" s="20">
        <v>129</v>
      </c>
      <c r="C133" s="58" t="e">
        <f>_xlfn.XLOOKUP(D:D,'DATA รถถึงเส้นรอง KKN'!A:A,'DATA รถถึงเส้นรอง KKN'!B:B)</f>
        <v>#N/A</v>
      </c>
      <c r="D133" s="32" t="e">
        <f>_xlfn.XLOOKUP(E133,'DATA รถถึงเส้นรอง KKN'!C:C,'DATA รถถึงเส้นรอง KKN'!A:A)</f>
        <v>#N/A</v>
      </c>
      <c r="E133" s="32" cm="1">
        <f t="array" ref="E133">INDEX('DATA รถถึงเส้นรอง KKN'!C:C,ROW()-3)</f>
        <v>0</v>
      </c>
      <c r="F133" s="22" t="e">
        <f>_xlfn.XLOOKUP(E133,'DATA รถถึงเส้นรอง KKN'!C:C,'DATA รถถึงเส้นรอง KKN'!O:O)</f>
        <v>#N/A</v>
      </c>
      <c r="G133" s="22" t="e">
        <f>_xlfn.XLOOKUP(E133,'DATA รถถึงเส้นรอง KKN'!C:C,'DATA รถถึงเส้นรอง KKN'!L:L)</f>
        <v>#N/A</v>
      </c>
      <c r="H133" s="22" t="e">
        <f>_xlfn.XLOOKUP(E133,#REF!,#REF!)</f>
        <v>#REF!</v>
      </c>
      <c r="I133" s="22" t="e">
        <f>_xlfn.XLOOKUP(E133,#REF!,#REF!)</f>
        <v>#REF!</v>
      </c>
      <c r="J133" s="23" t="e">
        <f>_xlfn.XLOOKUP(E133,'DATA รถถึงเส้นรอง KKN'!C:C,'DATA รถถึงเส้นรอง KKN'!AP:AP)</f>
        <v>#N/A</v>
      </c>
      <c r="K133" s="24" t="e">
        <f>_xlfn.XLOOKUP(E133,'DATA รถถึงเส้นรอง KKN'!C:C,'DATA รถถึงเส้นรอง KKN'!AV:AV)</f>
        <v>#N/A</v>
      </c>
      <c r="L133" s="25" t="e">
        <f t="shared" si="30"/>
        <v>#N/A</v>
      </c>
      <c r="M133" s="24" t="e">
        <f>_xlfn.XLOOKUP(E133,'DATA รถถึงเส้นรอง KKN'!C:C,'DATA รถถึงเส้นรอง KKN'!AW:AW)</f>
        <v>#N/A</v>
      </c>
      <c r="N133" s="24" t="e">
        <f>_xlfn.XLOOKUP(E133,'DATA รถถึงเส้นรอง KKN'!C:C,'DATA รถถึงเส้นรอง KKN'!AY:AY)</f>
        <v>#N/A</v>
      </c>
      <c r="O133" s="26" t="e">
        <f t="shared" si="31"/>
        <v>#N/A</v>
      </c>
      <c r="P133" s="24" t="e">
        <f>_xlfn.XLOOKUP(E133,'DATA รถถึงเส้นรอง KKN'!C:C,'DATA รถถึงเส้นรอง KKN'!AZ:AZ)</f>
        <v>#N/A</v>
      </c>
      <c r="Q133" s="60" t="str">
        <f t="shared" si="14"/>
        <v/>
      </c>
      <c r="R133" s="27"/>
      <c r="S133" s="28"/>
      <c r="T133" s="59" t="e">
        <f t="shared" si="15"/>
        <v>#N/A</v>
      </c>
      <c r="V133" s="25" t="e">
        <f t="shared" si="32"/>
        <v>#N/A</v>
      </c>
      <c r="W133" s="25" t="e">
        <f t="shared" si="33"/>
        <v>#N/A</v>
      </c>
      <c r="X133" s="29" t="e">
        <f t="shared" si="34"/>
        <v>#N/A</v>
      </c>
    </row>
    <row r="134" spans="2:24" ht="20.25">
      <c r="B134" s="20">
        <v>130</v>
      </c>
      <c r="C134" s="58" t="e">
        <f>_xlfn.XLOOKUP(D:D,'DATA รถถึงเส้นรอง KKN'!A:A,'DATA รถถึงเส้นรอง KKN'!B:B)</f>
        <v>#N/A</v>
      </c>
      <c r="D134" s="32" t="e">
        <f>_xlfn.XLOOKUP(E134,'DATA รถถึงเส้นรอง KKN'!C:C,'DATA รถถึงเส้นรอง KKN'!A:A)</f>
        <v>#N/A</v>
      </c>
      <c r="E134" s="32" cm="1">
        <f t="array" ref="E134">INDEX('DATA รถถึงเส้นรอง KKN'!C:C,ROW()-3)</f>
        <v>0</v>
      </c>
      <c r="F134" s="22" t="e">
        <f>_xlfn.XLOOKUP(E134,'DATA รถถึงเส้นรอง KKN'!C:C,'DATA รถถึงเส้นรอง KKN'!O:O)</f>
        <v>#N/A</v>
      </c>
      <c r="G134" s="22" t="e">
        <f>_xlfn.XLOOKUP(E134,'DATA รถถึงเส้นรอง KKN'!C:C,'DATA รถถึงเส้นรอง KKN'!L:L)</f>
        <v>#N/A</v>
      </c>
      <c r="H134" s="22" t="e">
        <f>_xlfn.XLOOKUP(E134,#REF!,#REF!)</f>
        <v>#REF!</v>
      </c>
      <c r="I134" s="22" t="e">
        <f>_xlfn.XLOOKUP(E134,#REF!,#REF!)</f>
        <v>#REF!</v>
      </c>
      <c r="J134" s="23" t="e">
        <f>_xlfn.XLOOKUP(E134,'DATA รถถึงเส้นรอง KKN'!C:C,'DATA รถถึงเส้นรอง KKN'!AP:AP)</f>
        <v>#N/A</v>
      </c>
      <c r="K134" s="24" t="e">
        <f>_xlfn.XLOOKUP(E134,'DATA รถถึงเส้นรอง KKN'!C:C,'DATA รถถึงเส้นรอง KKN'!AV:AV)</f>
        <v>#N/A</v>
      </c>
      <c r="L134" s="25" t="e">
        <f t="shared" si="30"/>
        <v>#N/A</v>
      </c>
      <c r="M134" s="24" t="e">
        <f>_xlfn.XLOOKUP(E134,'DATA รถถึงเส้นรอง KKN'!C:C,'DATA รถถึงเส้นรอง KKN'!AW:AW)</f>
        <v>#N/A</v>
      </c>
      <c r="N134" s="24" t="e">
        <f>_xlfn.XLOOKUP(E134,'DATA รถถึงเส้นรอง KKN'!C:C,'DATA รถถึงเส้นรอง KKN'!AY:AY)</f>
        <v>#N/A</v>
      </c>
      <c r="O134" s="26" t="e">
        <f t="shared" si="31"/>
        <v>#N/A</v>
      </c>
      <c r="P134" s="24" t="e">
        <f>_xlfn.XLOOKUP(E134,'DATA รถถึงเส้นรอง KKN'!C:C,'DATA รถถึงเส้นรอง KKN'!AZ:AZ)</f>
        <v>#N/A</v>
      </c>
      <c r="Q134" s="60" t="str">
        <f t="shared" ref="Q134:Q157" si="35">IFERROR(IF(AND(P134&lt;&gt;"",P134&lt;&gt;0),"卸完货 ลงพัสดุเสร็จ",IF(AND(N134&lt;&gt;"",N134&lt;&gt;0),"正在卸货 กำลังลงพัสดุ",IF(AND(M134&lt;&gt;"",M134&lt;&gt;0),"等待卸货 รอลงพัสดุ",IF(OR(AND(J134&lt;&gt;"",J134&lt;&gt;0),AND(K134&lt;&gt;"",K134&lt;&gt;0)),"在途 รถยังไม่ถึง","")))),"")</f>
        <v/>
      </c>
      <c r="R134" s="27"/>
      <c r="S134" s="28"/>
      <c r="T134" s="59" t="e">
        <f t="shared" ref="T134:T179" si="36">INT((V134-W134)*1440)</f>
        <v>#N/A</v>
      </c>
      <c r="V134" s="25" t="e">
        <f t="shared" si="32"/>
        <v>#N/A</v>
      </c>
      <c r="W134" s="25" t="e">
        <f t="shared" si="33"/>
        <v>#N/A</v>
      </c>
      <c r="X134" s="29" t="e">
        <f t="shared" si="34"/>
        <v>#N/A</v>
      </c>
    </row>
    <row r="135" spans="2:24" ht="20.25">
      <c r="B135" s="20">
        <v>131</v>
      </c>
      <c r="C135" s="58" t="e">
        <f>_xlfn.XLOOKUP(D:D,'DATA รถถึงเส้นรอง KKN'!A:A,'DATA รถถึงเส้นรอง KKN'!B:B)</f>
        <v>#N/A</v>
      </c>
      <c r="D135" s="32" t="e">
        <f>_xlfn.XLOOKUP(E135,'DATA รถถึงเส้นรอง KKN'!C:C,'DATA รถถึงเส้นรอง KKN'!A:A)</f>
        <v>#N/A</v>
      </c>
      <c r="E135" s="32" cm="1">
        <f t="array" ref="E135">INDEX('DATA รถถึงเส้นรอง KKN'!C:C,ROW()-3)</f>
        <v>0</v>
      </c>
      <c r="F135" s="22" t="e">
        <f>_xlfn.XLOOKUP(E135,'DATA รถถึงเส้นรอง KKN'!C:C,'DATA รถถึงเส้นรอง KKN'!O:O)</f>
        <v>#N/A</v>
      </c>
      <c r="G135" s="22" t="e">
        <f>_xlfn.XLOOKUP(E135,'DATA รถถึงเส้นรอง KKN'!C:C,'DATA รถถึงเส้นรอง KKN'!L:L)</f>
        <v>#N/A</v>
      </c>
      <c r="H135" s="22" t="e">
        <f>_xlfn.XLOOKUP(E135,#REF!,#REF!)</f>
        <v>#REF!</v>
      </c>
      <c r="I135" s="22" t="e">
        <f>_xlfn.XLOOKUP(E135,#REF!,#REF!)</f>
        <v>#REF!</v>
      </c>
      <c r="J135" s="23" t="e">
        <f>_xlfn.XLOOKUP(E135,'DATA รถถึงเส้นรอง KKN'!C:C,'DATA รถถึงเส้นรอง KKN'!AP:AP)</f>
        <v>#N/A</v>
      </c>
      <c r="K135" s="24" t="e">
        <f>_xlfn.XLOOKUP(E135,'DATA รถถึงเส้นรอง KKN'!C:C,'DATA รถถึงเส้นรอง KKN'!AV:AV)</f>
        <v>#N/A</v>
      </c>
      <c r="L135" s="25" t="e">
        <f t="shared" si="30"/>
        <v>#N/A</v>
      </c>
      <c r="M135" s="24" t="e">
        <f>_xlfn.XLOOKUP(E135,'DATA รถถึงเส้นรอง KKN'!C:C,'DATA รถถึงเส้นรอง KKN'!AW:AW)</f>
        <v>#N/A</v>
      </c>
      <c r="N135" s="24" t="e">
        <f>_xlfn.XLOOKUP(E135,'DATA รถถึงเส้นรอง KKN'!C:C,'DATA รถถึงเส้นรอง KKN'!AY:AY)</f>
        <v>#N/A</v>
      </c>
      <c r="O135" s="26" t="e">
        <f t="shared" si="31"/>
        <v>#N/A</v>
      </c>
      <c r="P135" s="24" t="e">
        <f>_xlfn.XLOOKUP(E135,'DATA รถถึงเส้นรอง KKN'!C:C,'DATA รถถึงเส้นรอง KKN'!AZ:AZ)</f>
        <v>#N/A</v>
      </c>
      <c r="Q135" s="60" t="str">
        <f t="shared" si="35"/>
        <v/>
      </c>
      <c r="R135" s="27"/>
      <c r="S135" s="28"/>
      <c r="T135" s="59" t="e">
        <f t="shared" si="36"/>
        <v>#N/A</v>
      </c>
      <c r="V135" s="25" t="e">
        <f t="shared" si="32"/>
        <v>#N/A</v>
      </c>
      <c r="W135" s="25" t="e">
        <f t="shared" si="33"/>
        <v>#N/A</v>
      </c>
      <c r="X135" s="29" t="e">
        <f t="shared" si="34"/>
        <v>#N/A</v>
      </c>
    </row>
    <row r="136" spans="2:24" ht="20.25">
      <c r="B136" s="20">
        <v>132</v>
      </c>
      <c r="C136" s="58" t="e">
        <f>_xlfn.XLOOKUP(D:D,'DATA รถถึงเส้นรอง KKN'!A:A,'DATA รถถึงเส้นรอง KKN'!B:B)</f>
        <v>#N/A</v>
      </c>
      <c r="D136" s="32" t="e">
        <f>_xlfn.XLOOKUP(E136,'DATA รถถึงเส้นรอง KKN'!C:C,'DATA รถถึงเส้นรอง KKN'!A:A)</f>
        <v>#N/A</v>
      </c>
      <c r="E136" s="32" cm="1">
        <f t="array" ref="E136">INDEX('DATA รถถึงเส้นรอง KKN'!C:C,ROW()-3)</f>
        <v>0</v>
      </c>
      <c r="F136" s="22" t="e">
        <f>_xlfn.XLOOKUP(E136,'DATA รถถึงเส้นรอง KKN'!C:C,'DATA รถถึงเส้นรอง KKN'!O:O)</f>
        <v>#N/A</v>
      </c>
      <c r="G136" s="22" t="e">
        <f>_xlfn.XLOOKUP(E136,'DATA รถถึงเส้นรอง KKN'!C:C,'DATA รถถึงเส้นรอง KKN'!L:L)</f>
        <v>#N/A</v>
      </c>
      <c r="H136" s="22" t="e">
        <f>_xlfn.XLOOKUP(E136,#REF!,#REF!)</f>
        <v>#REF!</v>
      </c>
      <c r="I136" s="22" t="e">
        <f>_xlfn.XLOOKUP(E136,#REF!,#REF!)</f>
        <v>#REF!</v>
      </c>
      <c r="J136" s="23" t="e">
        <f>_xlfn.XLOOKUP(E136,'DATA รถถึงเส้นรอง KKN'!C:C,'DATA รถถึงเส้นรอง KKN'!AP:AP)</f>
        <v>#N/A</v>
      </c>
      <c r="K136" s="24" t="e">
        <f>_xlfn.XLOOKUP(E136,'DATA รถถึงเส้นรอง KKN'!C:C,'DATA รถถึงเส้นรอง KKN'!AV:AV)</f>
        <v>#N/A</v>
      </c>
      <c r="L136" s="25" t="e">
        <f t="shared" si="30"/>
        <v>#N/A</v>
      </c>
      <c r="M136" s="24" t="e">
        <f>_xlfn.XLOOKUP(E136,'DATA รถถึงเส้นรอง KKN'!C:C,'DATA รถถึงเส้นรอง KKN'!AW:AW)</f>
        <v>#N/A</v>
      </c>
      <c r="N136" s="24" t="e">
        <f>_xlfn.XLOOKUP(E136,'DATA รถถึงเส้นรอง KKN'!C:C,'DATA รถถึงเส้นรอง KKN'!AY:AY)</f>
        <v>#N/A</v>
      </c>
      <c r="O136" s="26" t="e">
        <f t="shared" si="31"/>
        <v>#N/A</v>
      </c>
      <c r="P136" s="24" t="e">
        <f>_xlfn.XLOOKUP(E136,'DATA รถถึงเส้นรอง KKN'!C:C,'DATA รถถึงเส้นรอง KKN'!AZ:AZ)</f>
        <v>#N/A</v>
      </c>
      <c r="Q136" s="60" t="str">
        <f t="shared" si="35"/>
        <v/>
      </c>
      <c r="R136" s="27"/>
      <c r="S136" s="28"/>
      <c r="T136" s="59" t="e">
        <f t="shared" si="36"/>
        <v>#N/A</v>
      </c>
      <c r="V136" s="25" t="e">
        <f t="shared" si="32"/>
        <v>#N/A</v>
      </c>
      <c r="W136" s="25" t="e">
        <f t="shared" si="33"/>
        <v>#N/A</v>
      </c>
      <c r="X136" s="29" t="e">
        <f t="shared" si="34"/>
        <v>#N/A</v>
      </c>
    </row>
    <row r="137" spans="2:24" ht="20.25">
      <c r="B137" s="20">
        <v>133</v>
      </c>
      <c r="C137" s="58" t="e">
        <f>_xlfn.XLOOKUP(D:D,'DATA รถถึงเส้นรอง KKN'!A:A,'DATA รถถึงเส้นรอง KKN'!B:B)</f>
        <v>#N/A</v>
      </c>
      <c r="D137" s="32" t="e">
        <f>_xlfn.XLOOKUP(E137,'DATA รถถึงเส้นรอง KKN'!C:C,'DATA รถถึงเส้นรอง KKN'!A:A)</f>
        <v>#N/A</v>
      </c>
      <c r="E137" s="32" cm="1">
        <f t="array" ref="E137">INDEX('DATA รถถึงเส้นรอง KKN'!C:C,ROW()-3)</f>
        <v>0</v>
      </c>
      <c r="F137" s="22" t="e">
        <f>_xlfn.XLOOKUP(E137,'DATA รถถึงเส้นรอง KKN'!C:C,'DATA รถถึงเส้นรอง KKN'!O:O)</f>
        <v>#N/A</v>
      </c>
      <c r="G137" s="22" t="e">
        <f>_xlfn.XLOOKUP(E137,'DATA รถถึงเส้นรอง KKN'!C:C,'DATA รถถึงเส้นรอง KKN'!L:L)</f>
        <v>#N/A</v>
      </c>
      <c r="H137" s="22" t="e">
        <f>_xlfn.XLOOKUP(E137,#REF!,#REF!)</f>
        <v>#REF!</v>
      </c>
      <c r="I137" s="22" t="e">
        <f>_xlfn.XLOOKUP(E137,#REF!,#REF!)</f>
        <v>#REF!</v>
      </c>
      <c r="J137" s="23" t="e">
        <f>_xlfn.XLOOKUP(E137,'DATA รถถึงเส้นรอง KKN'!C:C,'DATA รถถึงเส้นรอง KKN'!AP:AP)</f>
        <v>#N/A</v>
      </c>
      <c r="K137" s="24" t="e">
        <f>_xlfn.XLOOKUP(E137,'DATA รถถึงเส้นรอง KKN'!C:C,'DATA รถถึงเส้นรอง KKN'!AV:AV)</f>
        <v>#N/A</v>
      </c>
      <c r="L137" s="25" t="e">
        <f t="shared" si="30"/>
        <v>#N/A</v>
      </c>
      <c r="M137" s="24" t="e">
        <f>_xlfn.XLOOKUP(E137,'DATA รถถึงเส้นรอง KKN'!C:C,'DATA รถถึงเส้นรอง KKN'!AW:AW)</f>
        <v>#N/A</v>
      </c>
      <c r="N137" s="24" t="e">
        <f>_xlfn.XLOOKUP(E137,'DATA รถถึงเส้นรอง KKN'!C:C,'DATA รถถึงเส้นรอง KKN'!AY:AY)</f>
        <v>#N/A</v>
      </c>
      <c r="O137" s="26" t="e">
        <f t="shared" si="31"/>
        <v>#N/A</v>
      </c>
      <c r="P137" s="24" t="e">
        <f>_xlfn.XLOOKUP(E137,'DATA รถถึงเส้นรอง KKN'!C:C,'DATA รถถึงเส้นรอง KKN'!AZ:AZ)</f>
        <v>#N/A</v>
      </c>
      <c r="Q137" s="60" t="str">
        <f t="shared" si="35"/>
        <v/>
      </c>
      <c r="R137" s="27"/>
      <c r="S137" s="28"/>
      <c r="T137" s="59" t="e">
        <f t="shared" si="36"/>
        <v>#N/A</v>
      </c>
      <c r="V137" s="25" t="e">
        <f t="shared" si="32"/>
        <v>#N/A</v>
      </c>
      <c r="W137" s="25" t="e">
        <f t="shared" si="33"/>
        <v>#N/A</v>
      </c>
      <c r="X137" s="29" t="e">
        <f t="shared" si="34"/>
        <v>#N/A</v>
      </c>
    </row>
    <row r="138" spans="2:24" ht="20.25">
      <c r="B138" s="20">
        <v>134</v>
      </c>
      <c r="C138" s="58" t="e">
        <f>_xlfn.XLOOKUP(D:D,'DATA รถถึงเส้นรอง KKN'!A:A,'DATA รถถึงเส้นรอง KKN'!B:B)</f>
        <v>#N/A</v>
      </c>
      <c r="D138" s="32" t="e">
        <f>_xlfn.XLOOKUP(E138,'DATA รถถึงเส้นรอง KKN'!C:C,'DATA รถถึงเส้นรอง KKN'!A:A)</f>
        <v>#N/A</v>
      </c>
      <c r="E138" s="32" cm="1">
        <f t="array" ref="E138">INDEX('DATA รถถึงเส้นรอง KKN'!C:C,ROW()-3)</f>
        <v>0</v>
      </c>
      <c r="F138" s="22" t="e">
        <f>_xlfn.XLOOKUP(E138,'DATA รถถึงเส้นรอง KKN'!C:C,'DATA รถถึงเส้นรอง KKN'!O:O)</f>
        <v>#N/A</v>
      </c>
      <c r="G138" s="22" t="e">
        <f>_xlfn.XLOOKUP(E138,'DATA รถถึงเส้นรอง KKN'!C:C,'DATA รถถึงเส้นรอง KKN'!L:L)</f>
        <v>#N/A</v>
      </c>
      <c r="H138" s="22" t="e">
        <f>_xlfn.XLOOKUP(E138,#REF!,#REF!)</f>
        <v>#REF!</v>
      </c>
      <c r="I138" s="22" t="e">
        <f>_xlfn.XLOOKUP(E138,#REF!,#REF!)</f>
        <v>#REF!</v>
      </c>
      <c r="J138" s="23" t="e">
        <f>_xlfn.XLOOKUP(E138,'DATA รถถึงเส้นรอง KKN'!C:C,'DATA รถถึงเส้นรอง KKN'!AP:AP)</f>
        <v>#N/A</v>
      </c>
      <c r="K138" s="24" t="e">
        <f>_xlfn.XLOOKUP(E138,'DATA รถถึงเส้นรอง KKN'!C:C,'DATA รถถึงเส้นรอง KKN'!AV:AV)</f>
        <v>#N/A</v>
      </c>
      <c r="L138" s="25" t="e">
        <f t="shared" si="30"/>
        <v>#N/A</v>
      </c>
      <c r="M138" s="24" t="e">
        <f>_xlfn.XLOOKUP(E138,'DATA รถถึงเส้นรอง KKN'!C:C,'DATA รถถึงเส้นรอง KKN'!AW:AW)</f>
        <v>#N/A</v>
      </c>
      <c r="N138" s="24" t="e">
        <f>_xlfn.XLOOKUP(E138,'DATA รถถึงเส้นรอง KKN'!C:C,'DATA รถถึงเส้นรอง KKN'!AY:AY)</f>
        <v>#N/A</v>
      </c>
      <c r="O138" s="26" t="e">
        <f t="shared" si="31"/>
        <v>#N/A</v>
      </c>
      <c r="P138" s="24" t="e">
        <f>_xlfn.XLOOKUP(E138,'DATA รถถึงเส้นรอง KKN'!C:C,'DATA รถถึงเส้นรอง KKN'!AZ:AZ)</f>
        <v>#N/A</v>
      </c>
      <c r="Q138" s="60" t="str">
        <f t="shared" si="35"/>
        <v/>
      </c>
      <c r="R138" s="27"/>
      <c r="S138" s="28"/>
      <c r="T138" s="59" t="e">
        <f t="shared" si="36"/>
        <v>#N/A</v>
      </c>
      <c r="V138" s="25" t="e">
        <f t="shared" si="32"/>
        <v>#N/A</v>
      </c>
      <c r="W138" s="25" t="e">
        <f t="shared" si="33"/>
        <v>#N/A</v>
      </c>
      <c r="X138" s="29" t="e">
        <f t="shared" si="34"/>
        <v>#N/A</v>
      </c>
    </row>
    <row r="139" spans="2:24" ht="20.25">
      <c r="B139" s="20">
        <v>135</v>
      </c>
      <c r="C139" s="58" t="e">
        <f>_xlfn.XLOOKUP(D:D,'DATA รถถึงเส้นรอง KKN'!A:A,'DATA รถถึงเส้นรอง KKN'!B:B)</f>
        <v>#N/A</v>
      </c>
      <c r="D139" s="32" t="e">
        <f>_xlfn.XLOOKUP(E139,'DATA รถถึงเส้นรอง KKN'!C:C,'DATA รถถึงเส้นรอง KKN'!A:A)</f>
        <v>#N/A</v>
      </c>
      <c r="E139" s="32" cm="1">
        <f t="array" ref="E139">INDEX('DATA รถถึงเส้นรอง KKN'!C:C,ROW()-3)</f>
        <v>0</v>
      </c>
      <c r="F139" s="22" t="e">
        <f>_xlfn.XLOOKUP(E139,'DATA รถถึงเส้นรอง KKN'!C:C,'DATA รถถึงเส้นรอง KKN'!O:O)</f>
        <v>#N/A</v>
      </c>
      <c r="G139" s="22" t="e">
        <f>_xlfn.XLOOKUP(E139,'DATA รถถึงเส้นรอง KKN'!C:C,'DATA รถถึงเส้นรอง KKN'!L:L)</f>
        <v>#N/A</v>
      </c>
      <c r="H139" s="22" t="e">
        <f>_xlfn.XLOOKUP(E139,#REF!,#REF!)</f>
        <v>#REF!</v>
      </c>
      <c r="I139" s="22" t="e">
        <f>_xlfn.XLOOKUP(E139,#REF!,#REF!)</f>
        <v>#REF!</v>
      </c>
      <c r="J139" s="23" t="e">
        <f>_xlfn.XLOOKUP(E139,'DATA รถถึงเส้นรอง KKN'!C:C,'DATA รถถึงเส้นรอง KKN'!AP:AP)</f>
        <v>#N/A</v>
      </c>
      <c r="K139" s="24" t="e">
        <f>_xlfn.XLOOKUP(E139,'DATA รถถึงเส้นรอง KKN'!C:C,'DATA รถถึงเส้นรอง KKN'!AV:AV)</f>
        <v>#N/A</v>
      </c>
      <c r="L139" s="25" t="e">
        <f t="shared" si="30"/>
        <v>#N/A</v>
      </c>
      <c r="M139" s="24" t="e">
        <f>_xlfn.XLOOKUP(E139,'DATA รถถึงเส้นรอง KKN'!C:C,'DATA รถถึงเส้นรอง KKN'!AW:AW)</f>
        <v>#N/A</v>
      </c>
      <c r="N139" s="24" t="e">
        <f>_xlfn.XLOOKUP(E139,'DATA รถถึงเส้นรอง KKN'!C:C,'DATA รถถึงเส้นรอง KKN'!AY:AY)</f>
        <v>#N/A</v>
      </c>
      <c r="O139" s="26" t="e">
        <f t="shared" si="31"/>
        <v>#N/A</v>
      </c>
      <c r="P139" s="24" t="e">
        <f>_xlfn.XLOOKUP(E139,'DATA รถถึงเส้นรอง KKN'!C:C,'DATA รถถึงเส้นรอง KKN'!AZ:AZ)</f>
        <v>#N/A</v>
      </c>
      <c r="Q139" s="60" t="str">
        <f t="shared" si="35"/>
        <v/>
      </c>
      <c r="R139" s="27"/>
      <c r="S139" s="28"/>
      <c r="T139" s="59" t="e">
        <f t="shared" si="36"/>
        <v>#N/A</v>
      </c>
      <c r="V139" s="25" t="e">
        <f t="shared" si="32"/>
        <v>#N/A</v>
      </c>
      <c r="W139" s="25" t="e">
        <f t="shared" si="33"/>
        <v>#N/A</v>
      </c>
      <c r="X139" s="29" t="e">
        <f t="shared" si="34"/>
        <v>#N/A</v>
      </c>
    </row>
    <row r="140" spans="2:24" ht="20.25">
      <c r="B140" s="20">
        <v>136</v>
      </c>
      <c r="C140" s="58" t="e">
        <f>_xlfn.XLOOKUP(D:D,'DATA รถถึงเส้นรอง KKN'!A:A,'DATA รถถึงเส้นรอง KKN'!B:B)</f>
        <v>#N/A</v>
      </c>
      <c r="D140" s="32" t="e">
        <f>_xlfn.XLOOKUP(E140,'DATA รถถึงเส้นรอง KKN'!C:C,'DATA รถถึงเส้นรอง KKN'!A:A)</f>
        <v>#N/A</v>
      </c>
      <c r="E140" s="32" cm="1">
        <f t="array" ref="E140">INDEX('DATA รถถึงเส้นรอง KKN'!C:C,ROW()-3)</f>
        <v>0</v>
      </c>
      <c r="F140" s="22" t="e">
        <f>_xlfn.XLOOKUP(E140,'DATA รถถึงเส้นรอง KKN'!C:C,'DATA รถถึงเส้นรอง KKN'!O:O)</f>
        <v>#N/A</v>
      </c>
      <c r="G140" s="22" t="e">
        <f>_xlfn.XLOOKUP(E140,'DATA รถถึงเส้นรอง KKN'!C:C,'DATA รถถึงเส้นรอง KKN'!L:L)</f>
        <v>#N/A</v>
      </c>
      <c r="H140" s="22" t="e">
        <f>_xlfn.XLOOKUP(E140,#REF!,#REF!)</f>
        <v>#REF!</v>
      </c>
      <c r="I140" s="22" t="e">
        <f>_xlfn.XLOOKUP(E140,#REF!,#REF!)</f>
        <v>#REF!</v>
      </c>
      <c r="J140" s="23" t="e">
        <f>_xlfn.XLOOKUP(E140,'DATA รถถึงเส้นรอง KKN'!C:C,'DATA รถถึงเส้นรอง KKN'!AP:AP)</f>
        <v>#N/A</v>
      </c>
      <c r="K140" s="24" t="e">
        <f>_xlfn.XLOOKUP(E140,'DATA รถถึงเส้นรอง KKN'!C:C,'DATA รถถึงเส้นรอง KKN'!AV:AV)</f>
        <v>#N/A</v>
      </c>
      <c r="L140" s="25" t="e">
        <f t="shared" si="30"/>
        <v>#N/A</v>
      </c>
      <c r="M140" s="24" t="e">
        <f>_xlfn.XLOOKUP(E140,'DATA รถถึงเส้นรอง KKN'!C:C,'DATA รถถึงเส้นรอง KKN'!AW:AW)</f>
        <v>#N/A</v>
      </c>
      <c r="N140" s="24" t="e">
        <f>_xlfn.XLOOKUP(E140,'DATA รถถึงเส้นรอง KKN'!C:C,'DATA รถถึงเส้นรอง KKN'!AY:AY)</f>
        <v>#N/A</v>
      </c>
      <c r="O140" s="26" t="e">
        <f t="shared" si="31"/>
        <v>#N/A</v>
      </c>
      <c r="P140" s="24" t="e">
        <f>_xlfn.XLOOKUP(E140,'DATA รถถึงเส้นรอง KKN'!C:C,'DATA รถถึงเส้นรอง KKN'!AZ:AZ)</f>
        <v>#N/A</v>
      </c>
      <c r="Q140" s="60" t="str">
        <f t="shared" si="35"/>
        <v/>
      </c>
      <c r="R140" s="27"/>
      <c r="S140" s="28"/>
      <c r="T140" s="59" t="e">
        <f t="shared" si="36"/>
        <v>#N/A</v>
      </c>
      <c r="V140" s="25" t="e">
        <f t="shared" si="32"/>
        <v>#N/A</v>
      </c>
      <c r="W140" s="25" t="e">
        <f t="shared" si="33"/>
        <v>#N/A</v>
      </c>
      <c r="X140" s="29" t="e">
        <f t="shared" si="34"/>
        <v>#N/A</v>
      </c>
    </row>
    <row r="141" spans="2:24" ht="20.25">
      <c r="B141" s="20">
        <v>137</v>
      </c>
      <c r="C141" s="58" t="e">
        <f>_xlfn.XLOOKUP(D:D,'DATA รถถึงเส้นรอง KKN'!A:A,'DATA รถถึงเส้นรอง KKN'!B:B)</f>
        <v>#N/A</v>
      </c>
      <c r="D141" s="32" t="e">
        <f>_xlfn.XLOOKUP(E141,'DATA รถถึงเส้นรอง KKN'!C:C,'DATA รถถึงเส้นรอง KKN'!A:A)</f>
        <v>#N/A</v>
      </c>
      <c r="E141" s="32" cm="1">
        <f t="array" ref="E141">INDEX('DATA รถถึงเส้นรอง KKN'!C:C,ROW()-3)</f>
        <v>0</v>
      </c>
      <c r="F141" s="22" t="e">
        <f>_xlfn.XLOOKUP(E141,'DATA รถถึงเส้นรอง KKN'!C:C,'DATA รถถึงเส้นรอง KKN'!O:O)</f>
        <v>#N/A</v>
      </c>
      <c r="G141" s="22" t="e">
        <f>_xlfn.XLOOKUP(E141,'DATA รถถึงเส้นรอง KKN'!C:C,'DATA รถถึงเส้นรอง KKN'!L:L)</f>
        <v>#N/A</v>
      </c>
      <c r="H141" s="22" t="e">
        <f>_xlfn.XLOOKUP(E141,#REF!,#REF!)</f>
        <v>#REF!</v>
      </c>
      <c r="I141" s="22" t="e">
        <f>_xlfn.XLOOKUP(E141,#REF!,#REF!)</f>
        <v>#REF!</v>
      </c>
      <c r="J141" s="23" t="e">
        <f>_xlfn.XLOOKUP(E141,'DATA รถถึงเส้นรอง KKN'!C:C,'DATA รถถึงเส้นรอง KKN'!AP:AP)</f>
        <v>#N/A</v>
      </c>
      <c r="K141" s="24" t="e">
        <f>_xlfn.XLOOKUP(E141,'DATA รถถึงเส้นรอง KKN'!C:C,'DATA รถถึงเส้นรอง KKN'!AV:AV)</f>
        <v>#N/A</v>
      </c>
      <c r="L141" s="25" t="e">
        <f t="shared" si="30"/>
        <v>#N/A</v>
      </c>
      <c r="M141" s="24" t="e">
        <f>_xlfn.XLOOKUP(E141,'DATA รถถึงเส้นรอง KKN'!C:C,'DATA รถถึงเส้นรอง KKN'!AW:AW)</f>
        <v>#N/A</v>
      </c>
      <c r="N141" s="24" t="e">
        <f>_xlfn.XLOOKUP(E141,'DATA รถถึงเส้นรอง KKN'!C:C,'DATA รถถึงเส้นรอง KKN'!AY:AY)</f>
        <v>#N/A</v>
      </c>
      <c r="O141" s="26" t="e">
        <f t="shared" si="31"/>
        <v>#N/A</v>
      </c>
      <c r="P141" s="24" t="e">
        <f>_xlfn.XLOOKUP(E141,'DATA รถถึงเส้นรอง KKN'!C:C,'DATA รถถึงเส้นรอง KKN'!AZ:AZ)</f>
        <v>#N/A</v>
      </c>
      <c r="Q141" s="60" t="str">
        <f t="shared" si="35"/>
        <v/>
      </c>
      <c r="R141" s="27"/>
      <c r="S141" s="28"/>
      <c r="T141" s="59" t="e">
        <f t="shared" si="36"/>
        <v>#N/A</v>
      </c>
      <c r="V141" s="25" t="e">
        <f t="shared" si="32"/>
        <v>#N/A</v>
      </c>
      <c r="W141" s="25" t="e">
        <f t="shared" si="33"/>
        <v>#N/A</v>
      </c>
      <c r="X141" s="29" t="e">
        <f t="shared" si="34"/>
        <v>#N/A</v>
      </c>
    </row>
    <row r="142" spans="2:24" ht="20.25">
      <c r="B142" s="20">
        <v>138</v>
      </c>
      <c r="C142" s="58" t="e">
        <f>_xlfn.XLOOKUP(D:D,'DATA รถถึงเส้นรอง KKN'!A:A,'DATA รถถึงเส้นรอง KKN'!B:B)</f>
        <v>#N/A</v>
      </c>
      <c r="D142" s="32" t="e">
        <f>_xlfn.XLOOKUP(E142,'DATA รถถึงเส้นรอง KKN'!C:C,'DATA รถถึงเส้นรอง KKN'!A:A)</f>
        <v>#N/A</v>
      </c>
      <c r="E142" s="32" cm="1">
        <f t="array" ref="E142">INDEX('DATA รถถึงเส้นรอง KKN'!C:C,ROW()-3)</f>
        <v>0</v>
      </c>
      <c r="F142" s="22" t="e">
        <f>_xlfn.XLOOKUP(E142,'DATA รถถึงเส้นรอง KKN'!C:C,'DATA รถถึงเส้นรอง KKN'!O:O)</f>
        <v>#N/A</v>
      </c>
      <c r="G142" s="22" t="e">
        <f>_xlfn.XLOOKUP(E142,'DATA รถถึงเส้นรอง KKN'!C:C,'DATA รถถึงเส้นรอง KKN'!L:L)</f>
        <v>#N/A</v>
      </c>
      <c r="H142" s="22" t="e">
        <f>_xlfn.XLOOKUP(E142,#REF!,#REF!)</f>
        <v>#REF!</v>
      </c>
      <c r="I142" s="22" t="e">
        <f>_xlfn.XLOOKUP(E142,#REF!,#REF!)</f>
        <v>#REF!</v>
      </c>
      <c r="J142" s="23" t="e">
        <f>_xlfn.XLOOKUP(E142,'DATA รถถึงเส้นรอง KKN'!C:C,'DATA รถถึงเส้นรอง KKN'!AP:AP)</f>
        <v>#N/A</v>
      </c>
      <c r="K142" s="24" t="e">
        <f>_xlfn.XLOOKUP(E142,'DATA รถถึงเส้นรอง KKN'!C:C,'DATA รถถึงเส้นรอง KKN'!AV:AV)</f>
        <v>#N/A</v>
      </c>
      <c r="L142" s="25" t="e">
        <f t="shared" si="30"/>
        <v>#N/A</v>
      </c>
      <c r="M142" s="24" t="e">
        <f>_xlfn.XLOOKUP(E142,'DATA รถถึงเส้นรอง KKN'!C:C,'DATA รถถึงเส้นรอง KKN'!AW:AW)</f>
        <v>#N/A</v>
      </c>
      <c r="N142" s="24" t="e">
        <f>_xlfn.XLOOKUP(E142,'DATA รถถึงเส้นรอง KKN'!C:C,'DATA รถถึงเส้นรอง KKN'!AY:AY)</f>
        <v>#N/A</v>
      </c>
      <c r="O142" s="26" t="e">
        <f t="shared" si="31"/>
        <v>#N/A</v>
      </c>
      <c r="P142" s="24" t="e">
        <f>_xlfn.XLOOKUP(E142,'DATA รถถึงเส้นรอง KKN'!C:C,'DATA รถถึงเส้นรอง KKN'!AZ:AZ)</f>
        <v>#N/A</v>
      </c>
      <c r="Q142" s="60" t="str">
        <f t="shared" si="35"/>
        <v/>
      </c>
      <c r="R142" s="27"/>
      <c r="S142" s="28"/>
      <c r="T142" s="59" t="e">
        <f t="shared" si="36"/>
        <v>#N/A</v>
      </c>
      <c r="V142" s="25" t="e">
        <f t="shared" si="32"/>
        <v>#N/A</v>
      </c>
      <c r="W142" s="25" t="e">
        <f t="shared" si="33"/>
        <v>#N/A</v>
      </c>
      <c r="X142" s="29" t="e">
        <f t="shared" si="34"/>
        <v>#N/A</v>
      </c>
    </row>
    <row r="143" spans="2:24" ht="20.25">
      <c r="B143" s="20">
        <v>139</v>
      </c>
      <c r="C143" s="58" t="e">
        <f>_xlfn.XLOOKUP(D:D,'DATA รถถึงเส้นรอง KKN'!A:A,'DATA รถถึงเส้นรอง KKN'!B:B)</f>
        <v>#N/A</v>
      </c>
      <c r="D143" s="32" t="e">
        <f>_xlfn.XLOOKUP(E143,'DATA รถถึงเส้นรอง KKN'!C:C,'DATA รถถึงเส้นรอง KKN'!A:A)</f>
        <v>#N/A</v>
      </c>
      <c r="E143" s="32" cm="1">
        <f t="array" ref="E143">INDEX('DATA รถถึงเส้นรอง KKN'!C:C,ROW()-3)</f>
        <v>0</v>
      </c>
      <c r="F143" s="22" t="e">
        <f>_xlfn.XLOOKUP(E143,'DATA รถถึงเส้นรอง KKN'!C:C,'DATA รถถึงเส้นรอง KKN'!O:O)</f>
        <v>#N/A</v>
      </c>
      <c r="G143" s="22" t="e">
        <f>_xlfn.XLOOKUP(E143,'DATA รถถึงเส้นรอง KKN'!C:C,'DATA รถถึงเส้นรอง KKN'!L:L)</f>
        <v>#N/A</v>
      </c>
      <c r="H143" s="22" t="e">
        <f>_xlfn.XLOOKUP(E143,#REF!,#REF!)</f>
        <v>#REF!</v>
      </c>
      <c r="I143" s="22" t="e">
        <f>_xlfn.XLOOKUP(E143,#REF!,#REF!)</f>
        <v>#REF!</v>
      </c>
      <c r="J143" s="23" t="e">
        <f>_xlfn.XLOOKUP(E143,'DATA รถถึงเส้นรอง KKN'!C:C,'DATA รถถึงเส้นรอง KKN'!AP:AP)</f>
        <v>#N/A</v>
      </c>
      <c r="K143" s="24" t="e">
        <f>_xlfn.XLOOKUP(E143,'DATA รถถึงเส้นรอง KKN'!C:C,'DATA รถถึงเส้นรอง KKN'!AV:AV)</f>
        <v>#N/A</v>
      </c>
      <c r="L143" s="25" t="e">
        <f t="shared" si="30"/>
        <v>#N/A</v>
      </c>
      <c r="M143" s="24" t="e">
        <f>_xlfn.XLOOKUP(E143,'DATA รถถึงเส้นรอง KKN'!C:C,'DATA รถถึงเส้นรอง KKN'!AW:AW)</f>
        <v>#N/A</v>
      </c>
      <c r="N143" s="24" t="e">
        <f>_xlfn.XLOOKUP(E143,'DATA รถถึงเส้นรอง KKN'!C:C,'DATA รถถึงเส้นรอง KKN'!AY:AY)</f>
        <v>#N/A</v>
      </c>
      <c r="O143" s="26" t="e">
        <f t="shared" si="31"/>
        <v>#N/A</v>
      </c>
      <c r="P143" s="24" t="e">
        <f>_xlfn.XLOOKUP(E143,'DATA รถถึงเส้นรอง KKN'!C:C,'DATA รถถึงเส้นรอง KKN'!AZ:AZ)</f>
        <v>#N/A</v>
      </c>
      <c r="Q143" s="60" t="str">
        <f t="shared" si="35"/>
        <v/>
      </c>
      <c r="R143" s="27"/>
      <c r="S143" s="28"/>
      <c r="T143" s="59" t="e">
        <f t="shared" si="36"/>
        <v>#N/A</v>
      </c>
      <c r="V143" s="25" t="e">
        <f t="shared" si="32"/>
        <v>#N/A</v>
      </c>
      <c r="W143" s="25" t="e">
        <f t="shared" si="33"/>
        <v>#N/A</v>
      </c>
      <c r="X143" s="29" t="e">
        <f t="shared" si="34"/>
        <v>#N/A</v>
      </c>
    </row>
    <row r="144" spans="2:24" ht="20.25">
      <c r="B144" s="20">
        <v>140</v>
      </c>
      <c r="C144" s="58" t="e">
        <f>_xlfn.XLOOKUP(D:D,'DATA รถถึงเส้นรอง KKN'!A:A,'DATA รถถึงเส้นรอง KKN'!B:B)</f>
        <v>#N/A</v>
      </c>
      <c r="D144" s="32" t="e">
        <f>_xlfn.XLOOKUP(E144,'DATA รถถึงเส้นรอง KKN'!C:C,'DATA รถถึงเส้นรอง KKN'!A:A)</f>
        <v>#N/A</v>
      </c>
      <c r="E144" s="32" cm="1">
        <f t="array" ref="E144">INDEX('DATA รถถึงเส้นรอง KKN'!C:C,ROW()-3)</f>
        <v>0</v>
      </c>
      <c r="F144" s="22" t="e">
        <f>_xlfn.XLOOKUP(E144,'DATA รถถึงเส้นรอง KKN'!C:C,'DATA รถถึงเส้นรอง KKN'!O:O)</f>
        <v>#N/A</v>
      </c>
      <c r="G144" s="22" t="e">
        <f>_xlfn.XLOOKUP(E144,'DATA รถถึงเส้นรอง KKN'!C:C,'DATA รถถึงเส้นรอง KKN'!L:L)</f>
        <v>#N/A</v>
      </c>
      <c r="H144" s="22" t="e">
        <f>_xlfn.XLOOKUP(E144,#REF!,#REF!)</f>
        <v>#REF!</v>
      </c>
      <c r="I144" s="22" t="e">
        <f>_xlfn.XLOOKUP(E144,#REF!,#REF!)</f>
        <v>#REF!</v>
      </c>
      <c r="J144" s="23" t="e">
        <f>_xlfn.XLOOKUP(E144,'DATA รถถึงเส้นรอง KKN'!C:C,'DATA รถถึงเส้นรอง KKN'!AP:AP)</f>
        <v>#N/A</v>
      </c>
      <c r="K144" s="24" t="e">
        <f>_xlfn.XLOOKUP(E144,'DATA รถถึงเส้นรอง KKN'!C:C,'DATA รถถึงเส้นรอง KKN'!AV:AV)</f>
        <v>#N/A</v>
      </c>
      <c r="L144" s="25" t="e">
        <f t="shared" si="30"/>
        <v>#N/A</v>
      </c>
      <c r="M144" s="24" t="e">
        <f>_xlfn.XLOOKUP(E144,'DATA รถถึงเส้นรอง KKN'!C:C,'DATA รถถึงเส้นรอง KKN'!AW:AW)</f>
        <v>#N/A</v>
      </c>
      <c r="N144" s="24" t="e">
        <f>_xlfn.XLOOKUP(E144,'DATA รถถึงเส้นรอง KKN'!C:C,'DATA รถถึงเส้นรอง KKN'!AY:AY)</f>
        <v>#N/A</v>
      </c>
      <c r="O144" s="26" t="e">
        <f t="shared" si="31"/>
        <v>#N/A</v>
      </c>
      <c r="P144" s="24" t="e">
        <f>_xlfn.XLOOKUP(E144,'DATA รถถึงเส้นรอง KKN'!C:C,'DATA รถถึงเส้นรอง KKN'!AZ:AZ)</f>
        <v>#N/A</v>
      </c>
      <c r="Q144" s="60" t="str">
        <f t="shared" si="35"/>
        <v/>
      </c>
      <c r="R144" s="27"/>
      <c r="S144" s="28"/>
      <c r="T144" s="59" t="e">
        <f t="shared" si="36"/>
        <v>#N/A</v>
      </c>
      <c r="V144" s="25" t="e">
        <f t="shared" si="32"/>
        <v>#N/A</v>
      </c>
      <c r="W144" s="25" t="e">
        <f t="shared" si="33"/>
        <v>#N/A</v>
      </c>
      <c r="X144" s="29" t="e">
        <f t="shared" si="34"/>
        <v>#N/A</v>
      </c>
    </row>
    <row r="145" spans="2:24" ht="20.25">
      <c r="B145" s="20">
        <v>141</v>
      </c>
      <c r="C145" s="58" t="e">
        <f>_xlfn.XLOOKUP(D:D,'DATA รถถึงเส้นรอง KKN'!A:A,'DATA รถถึงเส้นรอง KKN'!B:B)</f>
        <v>#N/A</v>
      </c>
      <c r="D145" s="32" t="e">
        <f>_xlfn.XLOOKUP(E145,'DATA รถถึงเส้นรอง KKN'!C:C,'DATA รถถึงเส้นรอง KKN'!A:A)</f>
        <v>#N/A</v>
      </c>
      <c r="E145" s="32" cm="1">
        <f t="array" ref="E145">INDEX('DATA รถถึงเส้นรอง KKN'!C:C,ROW()-3)</f>
        <v>0</v>
      </c>
      <c r="F145" s="22" t="e">
        <f>_xlfn.XLOOKUP(E145,'DATA รถถึงเส้นรอง KKN'!C:C,'DATA รถถึงเส้นรอง KKN'!O:O)</f>
        <v>#N/A</v>
      </c>
      <c r="G145" s="22" t="e">
        <f>_xlfn.XLOOKUP(E145,'DATA รถถึงเส้นรอง KKN'!C:C,'DATA รถถึงเส้นรอง KKN'!L:L)</f>
        <v>#N/A</v>
      </c>
      <c r="H145" s="22" t="e">
        <f>_xlfn.XLOOKUP(E145,#REF!,#REF!)</f>
        <v>#REF!</v>
      </c>
      <c r="I145" s="22" t="e">
        <f>_xlfn.XLOOKUP(E145,#REF!,#REF!)</f>
        <v>#REF!</v>
      </c>
      <c r="J145" s="23" t="e">
        <f>_xlfn.XLOOKUP(E145,'DATA รถถึงเส้นรอง KKN'!C:C,'DATA รถถึงเส้นรอง KKN'!AP:AP)</f>
        <v>#N/A</v>
      </c>
      <c r="K145" s="24" t="e">
        <f>_xlfn.XLOOKUP(E145,'DATA รถถึงเส้นรอง KKN'!C:C,'DATA รถถึงเส้นรอง KKN'!AV:AV)</f>
        <v>#N/A</v>
      </c>
      <c r="L145" s="25" t="e">
        <f t="shared" si="30"/>
        <v>#N/A</v>
      </c>
      <c r="M145" s="24" t="e">
        <f>_xlfn.XLOOKUP(E145,'DATA รถถึงเส้นรอง KKN'!C:C,'DATA รถถึงเส้นรอง KKN'!AW:AW)</f>
        <v>#N/A</v>
      </c>
      <c r="N145" s="24" t="e">
        <f>_xlfn.XLOOKUP(E145,'DATA รถถึงเส้นรอง KKN'!C:C,'DATA รถถึงเส้นรอง KKN'!AY:AY)</f>
        <v>#N/A</v>
      </c>
      <c r="O145" s="26" t="e">
        <f t="shared" si="31"/>
        <v>#N/A</v>
      </c>
      <c r="P145" s="24" t="e">
        <f>_xlfn.XLOOKUP(E145,'DATA รถถึงเส้นรอง KKN'!C:C,'DATA รถถึงเส้นรอง KKN'!AZ:AZ)</f>
        <v>#N/A</v>
      </c>
      <c r="Q145" s="60" t="str">
        <f t="shared" si="35"/>
        <v/>
      </c>
      <c r="R145" s="27"/>
      <c r="S145" s="28"/>
      <c r="T145" s="59" t="e">
        <f t="shared" si="36"/>
        <v>#N/A</v>
      </c>
      <c r="V145" s="25" t="e">
        <f t="shared" si="32"/>
        <v>#N/A</v>
      </c>
      <c r="W145" s="25" t="e">
        <f t="shared" si="33"/>
        <v>#N/A</v>
      </c>
      <c r="X145" s="29" t="e">
        <f t="shared" si="34"/>
        <v>#N/A</v>
      </c>
    </row>
    <row r="146" spans="2:24" ht="20.25">
      <c r="B146" s="20">
        <v>142</v>
      </c>
      <c r="C146" s="58" t="e">
        <f>_xlfn.XLOOKUP(D:D,'DATA รถถึงเส้นรอง KKN'!A:A,'DATA รถถึงเส้นรอง KKN'!B:B)</f>
        <v>#N/A</v>
      </c>
      <c r="D146" s="32" t="e">
        <f>_xlfn.XLOOKUP(E146,'DATA รถถึงเส้นรอง KKN'!C:C,'DATA รถถึงเส้นรอง KKN'!A:A)</f>
        <v>#N/A</v>
      </c>
      <c r="E146" s="32" cm="1">
        <f t="array" ref="E146">INDEX('DATA รถถึงเส้นรอง KKN'!C:C,ROW()-3)</f>
        <v>0</v>
      </c>
      <c r="F146" s="22" t="e">
        <f>_xlfn.XLOOKUP(E146,'DATA รถถึงเส้นรอง KKN'!C:C,'DATA รถถึงเส้นรอง KKN'!O:O)</f>
        <v>#N/A</v>
      </c>
      <c r="G146" s="22" t="e">
        <f>_xlfn.XLOOKUP(E146,'DATA รถถึงเส้นรอง KKN'!C:C,'DATA รถถึงเส้นรอง KKN'!L:L)</f>
        <v>#N/A</v>
      </c>
      <c r="H146" s="22" t="e">
        <f>_xlfn.XLOOKUP(E146,#REF!,#REF!)</f>
        <v>#REF!</v>
      </c>
      <c r="I146" s="22" t="e">
        <f>_xlfn.XLOOKUP(E146,#REF!,#REF!)</f>
        <v>#REF!</v>
      </c>
      <c r="J146" s="23" t="e">
        <f>_xlfn.XLOOKUP(E146,'DATA รถถึงเส้นรอง KKN'!C:C,'DATA รถถึงเส้นรอง KKN'!AP:AP)</f>
        <v>#N/A</v>
      </c>
      <c r="K146" s="24" t="e">
        <f>_xlfn.XLOOKUP(E146,'DATA รถถึงเส้นรอง KKN'!C:C,'DATA รถถึงเส้นรอง KKN'!AV:AV)</f>
        <v>#N/A</v>
      </c>
      <c r="L146" s="25" t="e">
        <f t="shared" si="30"/>
        <v>#N/A</v>
      </c>
      <c r="M146" s="24" t="e">
        <f>_xlfn.XLOOKUP(E146,'DATA รถถึงเส้นรอง KKN'!C:C,'DATA รถถึงเส้นรอง KKN'!AW:AW)</f>
        <v>#N/A</v>
      </c>
      <c r="N146" s="24" t="e">
        <f>_xlfn.XLOOKUP(E146,'DATA รถถึงเส้นรอง KKN'!C:C,'DATA รถถึงเส้นรอง KKN'!AY:AY)</f>
        <v>#N/A</v>
      </c>
      <c r="O146" s="26" t="e">
        <f t="shared" si="31"/>
        <v>#N/A</v>
      </c>
      <c r="P146" s="24" t="e">
        <f>_xlfn.XLOOKUP(E146,'DATA รถถึงเส้นรอง KKN'!C:C,'DATA รถถึงเส้นรอง KKN'!AZ:AZ)</f>
        <v>#N/A</v>
      </c>
      <c r="Q146" s="60" t="str">
        <f t="shared" si="35"/>
        <v/>
      </c>
      <c r="R146" s="27"/>
      <c r="S146" s="28"/>
      <c r="T146" s="59" t="e">
        <f t="shared" si="36"/>
        <v>#N/A</v>
      </c>
      <c r="V146" s="25" t="e">
        <f t="shared" si="32"/>
        <v>#N/A</v>
      </c>
      <c r="W146" s="25" t="e">
        <f t="shared" si="33"/>
        <v>#N/A</v>
      </c>
      <c r="X146" s="29" t="e">
        <f t="shared" si="34"/>
        <v>#N/A</v>
      </c>
    </row>
    <row r="147" spans="2:24" ht="20.25">
      <c r="B147" s="20">
        <v>143</v>
      </c>
      <c r="C147" s="58" t="e">
        <f>_xlfn.XLOOKUP(D:D,'DATA รถถึงเส้นรอง KKN'!A:A,'DATA รถถึงเส้นรอง KKN'!B:B)</f>
        <v>#N/A</v>
      </c>
      <c r="D147" s="32" t="e">
        <f>_xlfn.XLOOKUP(E147,'DATA รถถึงเส้นรอง KKN'!C:C,'DATA รถถึงเส้นรอง KKN'!A:A)</f>
        <v>#N/A</v>
      </c>
      <c r="E147" s="32" cm="1">
        <f t="array" ref="E147">INDEX('DATA รถถึงเส้นรอง KKN'!C:C,ROW()-3)</f>
        <v>0</v>
      </c>
      <c r="F147" s="22" t="e">
        <f>_xlfn.XLOOKUP(E147,'DATA รถถึงเส้นรอง KKN'!C:C,'DATA รถถึงเส้นรอง KKN'!O:O)</f>
        <v>#N/A</v>
      </c>
      <c r="G147" s="22" t="e">
        <f>_xlfn.XLOOKUP(E147,'DATA รถถึงเส้นรอง KKN'!C:C,'DATA รถถึงเส้นรอง KKN'!L:L)</f>
        <v>#N/A</v>
      </c>
      <c r="H147" s="22" t="e">
        <f>_xlfn.XLOOKUP(E147,#REF!,#REF!)</f>
        <v>#REF!</v>
      </c>
      <c r="I147" s="22" t="e">
        <f>_xlfn.XLOOKUP(E147,#REF!,#REF!)</f>
        <v>#REF!</v>
      </c>
      <c r="J147" s="23" t="e">
        <f>_xlfn.XLOOKUP(E147,'DATA รถถึงเส้นรอง KKN'!C:C,'DATA รถถึงเส้นรอง KKN'!AP:AP)</f>
        <v>#N/A</v>
      </c>
      <c r="K147" s="24" t="e">
        <f>_xlfn.XLOOKUP(E147,'DATA รถถึงเส้นรอง KKN'!C:C,'DATA รถถึงเส้นรอง KKN'!AV:AV)</f>
        <v>#N/A</v>
      </c>
      <c r="L147" s="25" t="e">
        <f t="shared" si="30"/>
        <v>#N/A</v>
      </c>
      <c r="M147" s="24" t="e">
        <f>_xlfn.XLOOKUP(E147,'DATA รถถึงเส้นรอง KKN'!C:C,'DATA รถถึงเส้นรอง KKN'!AW:AW)</f>
        <v>#N/A</v>
      </c>
      <c r="N147" s="24" t="e">
        <f>_xlfn.XLOOKUP(E147,'DATA รถถึงเส้นรอง KKN'!C:C,'DATA รถถึงเส้นรอง KKN'!AY:AY)</f>
        <v>#N/A</v>
      </c>
      <c r="O147" s="26" t="e">
        <f t="shared" si="31"/>
        <v>#N/A</v>
      </c>
      <c r="P147" s="24" t="e">
        <f>_xlfn.XLOOKUP(E147,'DATA รถถึงเส้นรอง KKN'!C:C,'DATA รถถึงเส้นรอง KKN'!AZ:AZ)</f>
        <v>#N/A</v>
      </c>
      <c r="Q147" s="60" t="str">
        <f t="shared" si="35"/>
        <v/>
      </c>
      <c r="R147" s="27"/>
      <c r="S147" s="28"/>
      <c r="T147" s="59" t="e">
        <f t="shared" si="36"/>
        <v>#N/A</v>
      </c>
      <c r="V147" s="25" t="e">
        <f t="shared" si="32"/>
        <v>#N/A</v>
      </c>
      <c r="W147" s="25" t="e">
        <f t="shared" si="33"/>
        <v>#N/A</v>
      </c>
      <c r="X147" s="29" t="e">
        <f t="shared" si="34"/>
        <v>#N/A</v>
      </c>
    </row>
    <row r="148" spans="2:24" ht="20.25">
      <c r="B148" s="20">
        <v>144</v>
      </c>
      <c r="C148" s="58" t="e">
        <f>_xlfn.XLOOKUP(D:D,'DATA รถถึงเส้นรอง KKN'!A:A,'DATA รถถึงเส้นรอง KKN'!B:B)</f>
        <v>#N/A</v>
      </c>
      <c r="D148" s="32" t="e">
        <f>_xlfn.XLOOKUP(E148,'DATA รถถึงเส้นรอง KKN'!C:C,'DATA รถถึงเส้นรอง KKN'!A:A)</f>
        <v>#N/A</v>
      </c>
      <c r="E148" s="32" cm="1">
        <f t="array" ref="E148">INDEX('DATA รถถึงเส้นรอง KKN'!C:C,ROW()-3)</f>
        <v>0</v>
      </c>
      <c r="F148" s="22" t="e">
        <f>_xlfn.XLOOKUP(E148,'DATA รถถึงเส้นรอง KKN'!C:C,'DATA รถถึงเส้นรอง KKN'!O:O)</f>
        <v>#N/A</v>
      </c>
      <c r="G148" s="22" t="e">
        <f>_xlfn.XLOOKUP(E148,'DATA รถถึงเส้นรอง KKN'!C:C,'DATA รถถึงเส้นรอง KKN'!L:L)</f>
        <v>#N/A</v>
      </c>
      <c r="H148" s="22" t="e">
        <f>_xlfn.XLOOKUP(E148,#REF!,#REF!)</f>
        <v>#REF!</v>
      </c>
      <c r="I148" s="22" t="e">
        <f>_xlfn.XLOOKUP(E148,#REF!,#REF!)</f>
        <v>#REF!</v>
      </c>
      <c r="J148" s="23" t="e">
        <f>_xlfn.XLOOKUP(E148,'DATA รถถึงเส้นรอง KKN'!C:C,'DATA รถถึงเส้นรอง KKN'!AP:AP)</f>
        <v>#N/A</v>
      </c>
      <c r="K148" s="24" t="e">
        <f>_xlfn.XLOOKUP(E148,'DATA รถถึงเส้นรอง KKN'!C:C,'DATA รถถึงเส้นรอง KKN'!AV:AV)</f>
        <v>#N/A</v>
      </c>
      <c r="L148" s="25" t="e">
        <f t="shared" si="30"/>
        <v>#N/A</v>
      </c>
      <c r="M148" s="24" t="e">
        <f>_xlfn.XLOOKUP(E148,'DATA รถถึงเส้นรอง KKN'!C:C,'DATA รถถึงเส้นรอง KKN'!AW:AW)</f>
        <v>#N/A</v>
      </c>
      <c r="N148" s="24" t="e">
        <f>_xlfn.XLOOKUP(E148,'DATA รถถึงเส้นรอง KKN'!C:C,'DATA รถถึงเส้นรอง KKN'!AY:AY)</f>
        <v>#N/A</v>
      </c>
      <c r="O148" s="26" t="e">
        <f t="shared" si="31"/>
        <v>#N/A</v>
      </c>
      <c r="P148" s="24" t="e">
        <f>_xlfn.XLOOKUP(E148,'DATA รถถึงเส้นรอง KKN'!C:C,'DATA รถถึงเส้นรอง KKN'!AZ:AZ)</f>
        <v>#N/A</v>
      </c>
      <c r="Q148" s="60" t="str">
        <f t="shared" si="35"/>
        <v/>
      </c>
      <c r="R148" s="27"/>
      <c r="S148" s="28"/>
      <c r="T148" s="59" t="e">
        <f t="shared" si="36"/>
        <v>#N/A</v>
      </c>
      <c r="V148" s="25" t="e">
        <f t="shared" si="32"/>
        <v>#N/A</v>
      </c>
      <c r="W148" s="25" t="e">
        <f t="shared" si="33"/>
        <v>#N/A</v>
      </c>
      <c r="X148" s="29" t="e">
        <f t="shared" si="34"/>
        <v>#N/A</v>
      </c>
    </row>
    <row r="149" spans="2:24" ht="20.25">
      <c r="B149" s="20">
        <v>145</v>
      </c>
      <c r="C149" s="58" t="e">
        <f>_xlfn.XLOOKUP(D:D,'DATA รถถึงเส้นรอง KKN'!A:A,'DATA รถถึงเส้นรอง KKN'!B:B)</f>
        <v>#N/A</v>
      </c>
      <c r="D149" s="32" t="e">
        <f>_xlfn.XLOOKUP(E149,'DATA รถถึงเส้นรอง KKN'!C:C,'DATA รถถึงเส้นรอง KKN'!A:A)</f>
        <v>#N/A</v>
      </c>
      <c r="E149" s="32" cm="1">
        <f t="array" ref="E149">INDEX('DATA รถถึงเส้นรอง KKN'!C:C,ROW()-3)</f>
        <v>0</v>
      </c>
      <c r="F149" s="22" t="e">
        <f>_xlfn.XLOOKUP(E149,'DATA รถถึงเส้นรอง KKN'!C:C,'DATA รถถึงเส้นรอง KKN'!O:O)</f>
        <v>#N/A</v>
      </c>
      <c r="G149" s="22" t="e">
        <f>_xlfn.XLOOKUP(E149,'DATA รถถึงเส้นรอง KKN'!C:C,'DATA รถถึงเส้นรอง KKN'!L:L)</f>
        <v>#N/A</v>
      </c>
      <c r="H149" s="22" t="e">
        <f>_xlfn.XLOOKUP(E149,#REF!,#REF!)</f>
        <v>#REF!</v>
      </c>
      <c r="I149" s="22" t="e">
        <f>_xlfn.XLOOKUP(E149,#REF!,#REF!)</f>
        <v>#REF!</v>
      </c>
      <c r="J149" s="23" t="e">
        <f>_xlfn.XLOOKUP(E149,'DATA รถถึงเส้นรอง KKN'!C:C,'DATA รถถึงเส้นรอง KKN'!AP:AP)</f>
        <v>#N/A</v>
      </c>
      <c r="K149" s="24" t="e">
        <f>_xlfn.XLOOKUP(E149,'DATA รถถึงเส้นรอง KKN'!C:C,'DATA รถถึงเส้นรอง KKN'!AV:AV)</f>
        <v>#N/A</v>
      </c>
      <c r="L149" s="25" t="e">
        <f t="shared" si="30"/>
        <v>#N/A</v>
      </c>
      <c r="M149" s="24" t="e">
        <f>_xlfn.XLOOKUP(E149,'DATA รถถึงเส้นรอง KKN'!C:C,'DATA รถถึงเส้นรอง KKN'!AW:AW)</f>
        <v>#N/A</v>
      </c>
      <c r="N149" s="24" t="e">
        <f>_xlfn.XLOOKUP(E149,'DATA รถถึงเส้นรอง KKN'!C:C,'DATA รถถึงเส้นรอง KKN'!AY:AY)</f>
        <v>#N/A</v>
      </c>
      <c r="O149" s="26" t="e">
        <f t="shared" si="31"/>
        <v>#N/A</v>
      </c>
      <c r="P149" s="24" t="e">
        <f>_xlfn.XLOOKUP(E149,'DATA รถถึงเส้นรอง KKN'!C:C,'DATA รถถึงเส้นรอง KKN'!AZ:AZ)</f>
        <v>#N/A</v>
      </c>
      <c r="Q149" s="60" t="str">
        <f t="shared" si="35"/>
        <v/>
      </c>
      <c r="R149" s="27"/>
      <c r="S149" s="28"/>
      <c r="T149" s="59" t="e">
        <f t="shared" si="36"/>
        <v>#N/A</v>
      </c>
      <c r="V149" s="25" t="e">
        <f t="shared" si="32"/>
        <v>#N/A</v>
      </c>
      <c r="W149" s="25" t="e">
        <f t="shared" si="33"/>
        <v>#N/A</v>
      </c>
      <c r="X149" s="29" t="e">
        <f t="shared" si="34"/>
        <v>#N/A</v>
      </c>
    </row>
    <row r="150" spans="2:24" ht="20.25">
      <c r="B150" s="20">
        <v>146</v>
      </c>
      <c r="C150" s="58" t="e">
        <f>_xlfn.XLOOKUP(D:D,'DATA รถถึงเส้นรอง KKN'!A:A,'DATA รถถึงเส้นรอง KKN'!B:B)</f>
        <v>#N/A</v>
      </c>
      <c r="D150" s="32" t="e">
        <f>_xlfn.XLOOKUP(E150,'DATA รถถึงเส้นรอง KKN'!C:C,'DATA รถถึงเส้นรอง KKN'!A:A)</f>
        <v>#N/A</v>
      </c>
      <c r="E150" s="32" cm="1">
        <f t="array" ref="E150">INDEX('DATA รถถึงเส้นรอง KKN'!C:C,ROW()-3)</f>
        <v>0</v>
      </c>
      <c r="F150" s="22" t="e">
        <f>_xlfn.XLOOKUP(E150,'DATA รถถึงเส้นรอง KKN'!C:C,'DATA รถถึงเส้นรอง KKN'!O:O)</f>
        <v>#N/A</v>
      </c>
      <c r="G150" s="22" t="e">
        <f>_xlfn.XLOOKUP(E150,'DATA รถถึงเส้นรอง KKN'!C:C,'DATA รถถึงเส้นรอง KKN'!L:L)</f>
        <v>#N/A</v>
      </c>
      <c r="H150" s="22" t="e">
        <f>_xlfn.XLOOKUP(E150,#REF!,#REF!)</f>
        <v>#REF!</v>
      </c>
      <c r="I150" s="22" t="e">
        <f>_xlfn.XLOOKUP(E150,#REF!,#REF!)</f>
        <v>#REF!</v>
      </c>
      <c r="J150" s="23" t="e">
        <f>_xlfn.XLOOKUP(E150,'DATA รถถึงเส้นรอง KKN'!C:C,'DATA รถถึงเส้นรอง KKN'!AP:AP)</f>
        <v>#N/A</v>
      </c>
      <c r="K150" s="24" t="e">
        <f>_xlfn.XLOOKUP(E150,'DATA รถถึงเส้นรอง KKN'!C:C,'DATA รถถึงเส้นรอง KKN'!AV:AV)</f>
        <v>#N/A</v>
      </c>
      <c r="L150" s="25" t="e">
        <f t="shared" si="30"/>
        <v>#N/A</v>
      </c>
      <c r="M150" s="24" t="e">
        <f>_xlfn.XLOOKUP(E150,'DATA รถถึงเส้นรอง KKN'!C:C,'DATA รถถึงเส้นรอง KKN'!AW:AW)</f>
        <v>#N/A</v>
      </c>
      <c r="N150" s="24" t="e">
        <f>_xlfn.XLOOKUP(E150,'DATA รถถึงเส้นรอง KKN'!C:C,'DATA รถถึงเส้นรอง KKN'!AY:AY)</f>
        <v>#N/A</v>
      </c>
      <c r="O150" s="26" t="e">
        <f t="shared" si="31"/>
        <v>#N/A</v>
      </c>
      <c r="P150" s="24" t="e">
        <f>_xlfn.XLOOKUP(E150,'DATA รถถึงเส้นรอง KKN'!C:C,'DATA รถถึงเส้นรอง KKN'!AZ:AZ)</f>
        <v>#N/A</v>
      </c>
      <c r="Q150" s="60" t="str">
        <f t="shared" si="35"/>
        <v/>
      </c>
      <c r="R150" s="27"/>
      <c r="S150" s="28"/>
      <c r="T150" s="59" t="e">
        <f t="shared" si="36"/>
        <v>#N/A</v>
      </c>
      <c r="V150" s="25" t="e">
        <f t="shared" si="32"/>
        <v>#N/A</v>
      </c>
      <c r="W150" s="25" t="e">
        <f t="shared" si="33"/>
        <v>#N/A</v>
      </c>
      <c r="X150" s="29" t="e">
        <f t="shared" si="34"/>
        <v>#N/A</v>
      </c>
    </row>
    <row r="151" spans="2:24" ht="20.25">
      <c r="B151" s="20">
        <v>147</v>
      </c>
      <c r="C151" s="58" t="e">
        <f>_xlfn.XLOOKUP(D:D,'DATA รถถึงเส้นรอง KKN'!A:A,'DATA รถถึงเส้นรอง KKN'!B:B)</f>
        <v>#N/A</v>
      </c>
      <c r="D151" s="32" t="e">
        <f>_xlfn.XLOOKUP(E151,'DATA รถถึงเส้นรอง KKN'!C:C,'DATA รถถึงเส้นรอง KKN'!A:A)</f>
        <v>#N/A</v>
      </c>
      <c r="E151" s="32" cm="1">
        <f t="array" ref="E151">INDEX('DATA รถถึงเส้นรอง KKN'!C:C,ROW()-3)</f>
        <v>0</v>
      </c>
      <c r="F151" s="22" t="e">
        <f>_xlfn.XLOOKUP(E151,'DATA รถถึงเส้นรอง KKN'!C:C,'DATA รถถึงเส้นรอง KKN'!O:O)</f>
        <v>#N/A</v>
      </c>
      <c r="G151" s="22" t="e">
        <f>_xlfn.XLOOKUP(E151,'DATA รถถึงเส้นรอง KKN'!C:C,'DATA รถถึงเส้นรอง KKN'!L:L)</f>
        <v>#N/A</v>
      </c>
      <c r="H151" s="22" t="e">
        <f>_xlfn.XLOOKUP(E151,#REF!,#REF!)</f>
        <v>#REF!</v>
      </c>
      <c r="I151" s="22" t="e">
        <f>_xlfn.XLOOKUP(E151,#REF!,#REF!)</f>
        <v>#REF!</v>
      </c>
      <c r="J151" s="23" t="e">
        <f>_xlfn.XLOOKUP(E151,'DATA รถถึงเส้นรอง KKN'!C:C,'DATA รถถึงเส้นรอง KKN'!AP:AP)</f>
        <v>#N/A</v>
      </c>
      <c r="K151" s="24" t="e">
        <f>_xlfn.XLOOKUP(E151,'DATA รถถึงเส้นรอง KKN'!C:C,'DATA รถถึงเส้นรอง KKN'!AV:AV)</f>
        <v>#N/A</v>
      </c>
      <c r="L151" s="25" t="e">
        <f t="shared" si="30"/>
        <v>#N/A</v>
      </c>
      <c r="M151" s="24" t="e">
        <f>_xlfn.XLOOKUP(E151,'DATA รถถึงเส้นรอง KKN'!C:C,'DATA รถถึงเส้นรอง KKN'!AW:AW)</f>
        <v>#N/A</v>
      </c>
      <c r="N151" s="24" t="e">
        <f>_xlfn.XLOOKUP(E151,'DATA รถถึงเส้นรอง KKN'!C:C,'DATA รถถึงเส้นรอง KKN'!AY:AY)</f>
        <v>#N/A</v>
      </c>
      <c r="O151" s="26" t="e">
        <f t="shared" si="31"/>
        <v>#N/A</v>
      </c>
      <c r="P151" s="24" t="e">
        <f>_xlfn.XLOOKUP(E151,'DATA รถถึงเส้นรอง KKN'!C:C,'DATA รถถึงเส้นรอง KKN'!AZ:AZ)</f>
        <v>#N/A</v>
      </c>
      <c r="Q151" s="60" t="str">
        <f t="shared" si="35"/>
        <v/>
      </c>
      <c r="R151" s="27"/>
      <c r="S151" s="28"/>
      <c r="T151" s="59" t="e">
        <f t="shared" si="36"/>
        <v>#N/A</v>
      </c>
      <c r="V151" s="25" t="e">
        <f t="shared" si="32"/>
        <v>#N/A</v>
      </c>
      <c r="W151" s="25" t="e">
        <f t="shared" si="33"/>
        <v>#N/A</v>
      </c>
      <c r="X151" s="29" t="e">
        <f t="shared" si="34"/>
        <v>#N/A</v>
      </c>
    </row>
    <row r="152" spans="2:24" ht="20.25">
      <c r="B152" s="20">
        <v>148</v>
      </c>
      <c r="C152" s="58" t="e">
        <f>_xlfn.XLOOKUP(D:D,'DATA รถถึงเส้นรอง KKN'!A:A,'DATA รถถึงเส้นรอง KKN'!B:B)</f>
        <v>#N/A</v>
      </c>
      <c r="D152" s="32" t="e">
        <f>_xlfn.XLOOKUP(E152,'DATA รถถึงเส้นรอง KKN'!C:C,'DATA รถถึงเส้นรอง KKN'!A:A)</f>
        <v>#N/A</v>
      </c>
      <c r="E152" s="32" cm="1">
        <f t="array" ref="E152">INDEX('DATA รถถึงเส้นรอง KKN'!C:C,ROW()-3)</f>
        <v>0</v>
      </c>
      <c r="F152" s="22" t="e">
        <f>_xlfn.XLOOKUP(E152,'DATA รถถึงเส้นรอง KKN'!C:C,'DATA รถถึงเส้นรอง KKN'!O:O)</f>
        <v>#N/A</v>
      </c>
      <c r="G152" s="22" t="e">
        <f>_xlfn.XLOOKUP(E152,'DATA รถถึงเส้นรอง KKN'!C:C,'DATA รถถึงเส้นรอง KKN'!L:L)</f>
        <v>#N/A</v>
      </c>
      <c r="H152" s="22" t="e">
        <f>_xlfn.XLOOKUP(E152,#REF!,#REF!)</f>
        <v>#REF!</v>
      </c>
      <c r="I152" s="22" t="e">
        <f>_xlfn.XLOOKUP(E152,#REF!,#REF!)</f>
        <v>#REF!</v>
      </c>
      <c r="J152" s="23" t="e">
        <f>_xlfn.XLOOKUP(E152,'DATA รถถึงเส้นรอง KKN'!C:C,'DATA รถถึงเส้นรอง KKN'!AP:AP)</f>
        <v>#N/A</v>
      </c>
      <c r="K152" s="24" t="e">
        <f>_xlfn.XLOOKUP(E152,'DATA รถถึงเส้นรอง KKN'!C:C,'DATA รถถึงเส้นรอง KKN'!AV:AV)</f>
        <v>#N/A</v>
      </c>
      <c r="L152" s="25" t="e">
        <f t="shared" si="30"/>
        <v>#N/A</v>
      </c>
      <c r="M152" s="24" t="e">
        <f>_xlfn.XLOOKUP(E152,'DATA รถถึงเส้นรอง KKN'!C:C,'DATA รถถึงเส้นรอง KKN'!AW:AW)</f>
        <v>#N/A</v>
      </c>
      <c r="N152" s="24" t="e">
        <f>_xlfn.XLOOKUP(E152,'DATA รถถึงเส้นรอง KKN'!C:C,'DATA รถถึงเส้นรอง KKN'!AY:AY)</f>
        <v>#N/A</v>
      </c>
      <c r="O152" s="26" t="e">
        <f t="shared" si="31"/>
        <v>#N/A</v>
      </c>
      <c r="P152" s="24" t="e">
        <f>_xlfn.XLOOKUP(E152,'DATA รถถึงเส้นรอง KKN'!C:C,'DATA รถถึงเส้นรอง KKN'!AZ:AZ)</f>
        <v>#N/A</v>
      </c>
      <c r="Q152" s="60" t="str">
        <f t="shared" si="35"/>
        <v/>
      </c>
      <c r="R152" s="27"/>
      <c r="S152" s="28"/>
      <c r="T152" s="59" t="e">
        <f t="shared" si="36"/>
        <v>#N/A</v>
      </c>
      <c r="V152" s="25" t="e">
        <f t="shared" si="32"/>
        <v>#N/A</v>
      </c>
      <c r="W152" s="25" t="e">
        <f t="shared" si="33"/>
        <v>#N/A</v>
      </c>
      <c r="X152" s="29" t="e">
        <f t="shared" si="34"/>
        <v>#N/A</v>
      </c>
    </row>
    <row r="153" spans="2:24" ht="20.25">
      <c r="B153" s="20">
        <v>149</v>
      </c>
      <c r="C153" s="58" t="e">
        <f>_xlfn.XLOOKUP(D:D,'DATA รถถึงเส้นรอง KKN'!A:A,'DATA รถถึงเส้นรอง KKN'!B:B)</f>
        <v>#N/A</v>
      </c>
      <c r="D153" s="32" t="e">
        <f>_xlfn.XLOOKUP(E153,'DATA รถถึงเส้นรอง KKN'!C:C,'DATA รถถึงเส้นรอง KKN'!A:A)</f>
        <v>#N/A</v>
      </c>
      <c r="E153" s="32" cm="1">
        <f t="array" ref="E153">INDEX('DATA รถถึงเส้นรอง KKN'!C:C,ROW()-3)</f>
        <v>0</v>
      </c>
      <c r="F153" s="22" t="e">
        <f>_xlfn.XLOOKUP(E153,'DATA รถถึงเส้นรอง KKN'!C:C,'DATA รถถึงเส้นรอง KKN'!O:O)</f>
        <v>#N/A</v>
      </c>
      <c r="G153" s="22" t="e">
        <f>_xlfn.XLOOKUP(E153,'DATA รถถึงเส้นรอง KKN'!C:C,'DATA รถถึงเส้นรอง KKN'!L:L)</f>
        <v>#N/A</v>
      </c>
      <c r="H153" s="22" t="e">
        <f>_xlfn.XLOOKUP(E153,#REF!,#REF!)</f>
        <v>#REF!</v>
      </c>
      <c r="I153" s="22" t="e">
        <f>_xlfn.XLOOKUP(E153,#REF!,#REF!)</f>
        <v>#REF!</v>
      </c>
      <c r="J153" s="23" t="e">
        <f>_xlfn.XLOOKUP(E153,'DATA รถถึงเส้นรอง KKN'!C:C,'DATA รถถึงเส้นรอง KKN'!AP:AP)</f>
        <v>#N/A</v>
      </c>
      <c r="K153" s="24" t="e">
        <f>_xlfn.XLOOKUP(E153,'DATA รถถึงเส้นรอง KKN'!C:C,'DATA รถถึงเส้นรอง KKN'!AV:AV)</f>
        <v>#N/A</v>
      </c>
      <c r="L153" s="25" t="e">
        <f t="shared" si="30"/>
        <v>#N/A</v>
      </c>
      <c r="M153" s="24" t="e">
        <f>_xlfn.XLOOKUP(E153,'DATA รถถึงเส้นรอง KKN'!C:C,'DATA รถถึงเส้นรอง KKN'!AW:AW)</f>
        <v>#N/A</v>
      </c>
      <c r="N153" s="24" t="e">
        <f>_xlfn.XLOOKUP(E153,'DATA รถถึงเส้นรอง KKN'!C:C,'DATA รถถึงเส้นรอง KKN'!AY:AY)</f>
        <v>#N/A</v>
      </c>
      <c r="O153" s="26" t="e">
        <f t="shared" si="31"/>
        <v>#N/A</v>
      </c>
      <c r="P153" s="24" t="e">
        <f>_xlfn.XLOOKUP(E153,'DATA รถถึงเส้นรอง KKN'!C:C,'DATA รถถึงเส้นรอง KKN'!AZ:AZ)</f>
        <v>#N/A</v>
      </c>
      <c r="Q153" s="60" t="str">
        <f t="shared" si="35"/>
        <v/>
      </c>
      <c r="R153" s="27"/>
      <c r="S153" s="28"/>
      <c r="T153" s="59" t="e">
        <f t="shared" si="36"/>
        <v>#N/A</v>
      </c>
      <c r="V153" s="25" t="e">
        <f t="shared" si="32"/>
        <v>#N/A</v>
      </c>
      <c r="W153" s="25" t="e">
        <f t="shared" si="33"/>
        <v>#N/A</v>
      </c>
      <c r="X153" s="29" t="e">
        <f t="shared" si="34"/>
        <v>#N/A</v>
      </c>
    </row>
    <row r="154" spans="2:24" ht="20.25">
      <c r="B154" s="20">
        <v>150</v>
      </c>
      <c r="C154" s="58" t="e">
        <f>_xlfn.XLOOKUP(D:D,'DATA รถถึงเส้นรอง KKN'!A:A,'DATA รถถึงเส้นรอง KKN'!B:B)</f>
        <v>#N/A</v>
      </c>
      <c r="D154" s="32" t="e">
        <f>_xlfn.XLOOKUP(E154,'DATA รถถึงเส้นรอง KKN'!C:C,'DATA รถถึงเส้นรอง KKN'!A:A)</f>
        <v>#N/A</v>
      </c>
      <c r="E154" s="32" cm="1">
        <f t="array" ref="E154">INDEX('DATA รถถึงเส้นรอง KKN'!C:C,ROW()-3)</f>
        <v>0</v>
      </c>
      <c r="F154" s="22" t="e">
        <f>_xlfn.XLOOKUP(E154,'DATA รถถึงเส้นรอง KKN'!C:C,'DATA รถถึงเส้นรอง KKN'!O:O)</f>
        <v>#N/A</v>
      </c>
      <c r="G154" s="22" t="e">
        <f>_xlfn.XLOOKUP(E154,'DATA รถถึงเส้นรอง KKN'!C:C,'DATA รถถึงเส้นรอง KKN'!L:L)</f>
        <v>#N/A</v>
      </c>
      <c r="H154" s="22" t="e">
        <f>_xlfn.XLOOKUP(E154,#REF!,#REF!)</f>
        <v>#REF!</v>
      </c>
      <c r="I154" s="22" t="e">
        <f>_xlfn.XLOOKUP(E154,#REF!,#REF!)</f>
        <v>#REF!</v>
      </c>
      <c r="J154" s="23" t="e">
        <f>_xlfn.XLOOKUP(E154,'DATA รถถึงเส้นรอง KKN'!C:C,'DATA รถถึงเส้นรอง KKN'!AP:AP)</f>
        <v>#N/A</v>
      </c>
      <c r="K154" s="24" t="e">
        <f>_xlfn.XLOOKUP(E154,'DATA รถถึงเส้นรอง KKN'!C:C,'DATA รถถึงเส้นรอง KKN'!AV:AV)</f>
        <v>#N/A</v>
      </c>
      <c r="L154" s="25" t="e">
        <f t="shared" si="30"/>
        <v>#N/A</v>
      </c>
      <c r="M154" s="24" t="e">
        <f>_xlfn.XLOOKUP(E154,'DATA รถถึงเส้นรอง KKN'!C:C,'DATA รถถึงเส้นรอง KKN'!AW:AW)</f>
        <v>#N/A</v>
      </c>
      <c r="N154" s="24" t="e">
        <f>_xlfn.XLOOKUP(E154,'DATA รถถึงเส้นรอง KKN'!C:C,'DATA รถถึงเส้นรอง KKN'!AY:AY)</f>
        <v>#N/A</v>
      </c>
      <c r="O154" s="26" t="e">
        <f t="shared" si="31"/>
        <v>#N/A</v>
      </c>
      <c r="P154" s="24" t="e">
        <f>_xlfn.XLOOKUP(E154,'DATA รถถึงเส้นรอง KKN'!C:C,'DATA รถถึงเส้นรอง KKN'!AZ:AZ)</f>
        <v>#N/A</v>
      </c>
      <c r="Q154" s="60" t="str">
        <f t="shared" si="35"/>
        <v/>
      </c>
      <c r="R154" s="27"/>
      <c r="S154" s="28"/>
      <c r="T154" s="59" t="e">
        <f t="shared" si="36"/>
        <v>#N/A</v>
      </c>
      <c r="V154" s="25" t="e">
        <f t="shared" si="32"/>
        <v>#N/A</v>
      </c>
      <c r="W154" s="25" t="e">
        <f t="shared" si="33"/>
        <v>#N/A</v>
      </c>
      <c r="X154" s="29" t="e">
        <f t="shared" si="34"/>
        <v>#N/A</v>
      </c>
    </row>
    <row r="155" spans="2:24" ht="20.25">
      <c r="B155" s="20">
        <v>151</v>
      </c>
      <c r="C155" s="58" t="e">
        <f>_xlfn.XLOOKUP(D:D,'DATA รถถึงเส้นรอง KKN'!A:A,'DATA รถถึงเส้นรอง KKN'!B:B)</f>
        <v>#N/A</v>
      </c>
      <c r="D155" s="32" t="e">
        <f>_xlfn.XLOOKUP(E155,'DATA รถถึงเส้นรอง KKN'!C:C,'DATA รถถึงเส้นรอง KKN'!A:A)</f>
        <v>#N/A</v>
      </c>
      <c r="E155" s="32" cm="1">
        <f t="array" ref="E155">INDEX('DATA รถถึงเส้นรอง KKN'!C:C,ROW()-3)</f>
        <v>0</v>
      </c>
      <c r="F155" s="22" t="e">
        <f>_xlfn.XLOOKUP(E155,'DATA รถถึงเส้นรอง KKN'!C:C,'DATA รถถึงเส้นรอง KKN'!O:O)</f>
        <v>#N/A</v>
      </c>
      <c r="G155" s="22" t="e">
        <f>_xlfn.XLOOKUP(E155,'DATA รถถึงเส้นรอง KKN'!C:C,'DATA รถถึงเส้นรอง KKN'!L:L)</f>
        <v>#N/A</v>
      </c>
      <c r="H155" s="22" t="e">
        <f>_xlfn.XLOOKUP(E155,#REF!,#REF!)</f>
        <v>#REF!</v>
      </c>
      <c r="I155" s="22" t="e">
        <f>_xlfn.XLOOKUP(E155,#REF!,#REF!)</f>
        <v>#REF!</v>
      </c>
      <c r="J155" s="23" t="e">
        <f>_xlfn.XLOOKUP(E155,'DATA รถถึงเส้นรอง KKN'!C:C,'DATA รถถึงเส้นรอง KKN'!AP:AP)</f>
        <v>#N/A</v>
      </c>
      <c r="K155" s="24" t="e">
        <f>_xlfn.XLOOKUP(E155,'DATA รถถึงเส้นรอง KKN'!C:C,'DATA รถถึงเส้นรอง KKN'!AV:AV)</f>
        <v>#N/A</v>
      </c>
      <c r="L155" s="25" t="e">
        <f t="shared" ref="L155:L179" si="37">M155+TIME(2,0,0)</f>
        <v>#N/A</v>
      </c>
      <c r="M155" s="24" t="e">
        <f>_xlfn.XLOOKUP(E155,'DATA รถถึงเส้นรอง KKN'!C:C,'DATA รถถึงเส้นรอง KKN'!AW:AW)</f>
        <v>#N/A</v>
      </c>
      <c r="N155" s="24" t="e">
        <f>_xlfn.XLOOKUP(E155,'DATA รถถึงเส้นรอง KKN'!C:C,'DATA รถถึงเส้นรอง KKN'!AY:AY)</f>
        <v>#N/A</v>
      </c>
      <c r="O155" s="26" t="e">
        <f t="shared" ref="O155:O179" si="38">IF(OR(N155=0,L155=0,N155="",L155=""),"ข้อมูลไม่ครบ",IF(TEXT(N155,"hh:mm:ss")&gt;TEXT(L155,"hh:mm:ss"),"เกินเวลาลงพัสดุ","อยู่ในเวลาที่ควรลง"))</f>
        <v>#N/A</v>
      </c>
      <c r="P155" s="24" t="e">
        <f>_xlfn.XLOOKUP(E155,'DATA รถถึงเส้นรอง KKN'!C:C,'DATA รถถึงเส้นรอง KKN'!AZ:AZ)</f>
        <v>#N/A</v>
      </c>
      <c r="Q155" s="60" t="str">
        <f t="shared" si="35"/>
        <v/>
      </c>
      <c r="R155" s="27"/>
      <c r="S155" s="28"/>
      <c r="T155" s="59" t="e">
        <f t="shared" si="36"/>
        <v>#N/A</v>
      </c>
      <c r="V155" s="25" t="e">
        <f t="shared" ref="V155:V179" si="39">RIGHT(P155,8)</f>
        <v>#N/A</v>
      </c>
      <c r="W155" s="25" t="e">
        <f t="shared" ref="W155:W179" si="40">RIGHT(N155,8)</f>
        <v>#N/A</v>
      </c>
      <c r="X155" s="29" t="e">
        <f t="shared" ref="X155:X179" si="41">MOD(V155-W155,1)</f>
        <v>#N/A</v>
      </c>
    </row>
    <row r="156" spans="2:24" ht="20.25">
      <c r="B156" s="20">
        <v>152</v>
      </c>
      <c r="C156" s="58" t="e">
        <f>_xlfn.XLOOKUP(D:D,'DATA รถถึงเส้นรอง KKN'!A:A,'DATA รถถึงเส้นรอง KKN'!B:B)</f>
        <v>#N/A</v>
      </c>
      <c r="D156" s="32" t="e">
        <f>_xlfn.XLOOKUP(E156,'DATA รถถึงเส้นรอง KKN'!C:C,'DATA รถถึงเส้นรอง KKN'!A:A)</f>
        <v>#N/A</v>
      </c>
      <c r="E156" s="32" cm="1">
        <f t="array" ref="E156">INDEX('DATA รถถึงเส้นรอง KKN'!C:C,ROW()-3)</f>
        <v>0</v>
      </c>
      <c r="F156" s="22" t="e">
        <f>_xlfn.XLOOKUP(E156,'DATA รถถึงเส้นรอง KKN'!C:C,'DATA รถถึงเส้นรอง KKN'!O:O)</f>
        <v>#N/A</v>
      </c>
      <c r="G156" s="22" t="e">
        <f>_xlfn.XLOOKUP(E156,'DATA รถถึงเส้นรอง KKN'!C:C,'DATA รถถึงเส้นรอง KKN'!L:L)</f>
        <v>#N/A</v>
      </c>
      <c r="H156" s="22" t="e">
        <f>_xlfn.XLOOKUP(E156,#REF!,#REF!)</f>
        <v>#REF!</v>
      </c>
      <c r="I156" s="22" t="e">
        <f>_xlfn.XLOOKUP(E156,#REF!,#REF!)</f>
        <v>#REF!</v>
      </c>
      <c r="J156" s="23" t="e">
        <f>_xlfn.XLOOKUP(E156,'DATA รถถึงเส้นรอง KKN'!C:C,'DATA รถถึงเส้นรอง KKN'!AP:AP)</f>
        <v>#N/A</v>
      </c>
      <c r="K156" s="24" t="e">
        <f>_xlfn.XLOOKUP(E156,'DATA รถถึงเส้นรอง KKN'!C:C,'DATA รถถึงเส้นรอง KKN'!AV:AV)</f>
        <v>#N/A</v>
      </c>
      <c r="L156" s="25" t="e">
        <f t="shared" si="37"/>
        <v>#N/A</v>
      </c>
      <c r="M156" s="24" t="e">
        <f>_xlfn.XLOOKUP(E156,'DATA รถถึงเส้นรอง KKN'!C:C,'DATA รถถึงเส้นรอง KKN'!AW:AW)</f>
        <v>#N/A</v>
      </c>
      <c r="N156" s="24" t="e">
        <f>_xlfn.XLOOKUP(E156,'DATA รถถึงเส้นรอง KKN'!C:C,'DATA รถถึงเส้นรอง KKN'!AY:AY)</f>
        <v>#N/A</v>
      </c>
      <c r="O156" s="26" t="e">
        <f t="shared" si="38"/>
        <v>#N/A</v>
      </c>
      <c r="P156" s="24" t="e">
        <f>_xlfn.XLOOKUP(E156,'DATA รถถึงเส้นรอง KKN'!C:C,'DATA รถถึงเส้นรอง KKN'!AZ:AZ)</f>
        <v>#N/A</v>
      </c>
      <c r="Q156" s="60" t="str">
        <f t="shared" si="35"/>
        <v/>
      </c>
      <c r="R156" s="27"/>
      <c r="S156" s="28"/>
      <c r="T156" s="59" t="e">
        <f t="shared" si="36"/>
        <v>#N/A</v>
      </c>
      <c r="V156" s="25" t="e">
        <f t="shared" si="39"/>
        <v>#N/A</v>
      </c>
      <c r="W156" s="25" t="e">
        <f t="shared" si="40"/>
        <v>#N/A</v>
      </c>
      <c r="X156" s="29" t="e">
        <f t="shared" si="41"/>
        <v>#N/A</v>
      </c>
    </row>
    <row r="157" spans="2:24" ht="20.25">
      <c r="B157" s="20">
        <v>153</v>
      </c>
      <c r="C157" s="58" t="e">
        <f>_xlfn.XLOOKUP(D:D,'DATA รถถึงเส้นรอง KKN'!A:A,'DATA รถถึงเส้นรอง KKN'!B:B)</f>
        <v>#N/A</v>
      </c>
      <c r="D157" s="32" t="e">
        <f>_xlfn.XLOOKUP(E157,'DATA รถถึงเส้นรอง KKN'!C:C,'DATA รถถึงเส้นรอง KKN'!A:A)</f>
        <v>#N/A</v>
      </c>
      <c r="E157" s="32" cm="1">
        <f t="array" ref="E157">INDEX('DATA รถถึงเส้นรอง KKN'!C:C,ROW()-3)</f>
        <v>0</v>
      </c>
      <c r="F157" s="22" t="e">
        <f>_xlfn.XLOOKUP(E157,'DATA รถถึงเส้นรอง KKN'!C:C,'DATA รถถึงเส้นรอง KKN'!O:O)</f>
        <v>#N/A</v>
      </c>
      <c r="G157" s="22" t="e">
        <f>_xlfn.XLOOKUP(E157,'DATA รถถึงเส้นรอง KKN'!C:C,'DATA รถถึงเส้นรอง KKN'!L:L)</f>
        <v>#N/A</v>
      </c>
      <c r="H157" s="22" t="e">
        <f>_xlfn.XLOOKUP(E157,#REF!,#REF!)</f>
        <v>#REF!</v>
      </c>
      <c r="I157" s="22" t="e">
        <f>_xlfn.XLOOKUP(E157,#REF!,#REF!)</f>
        <v>#REF!</v>
      </c>
      <c r="J157" s="23" t="e">
        <f>_xlfn.XLOOKUP(E157,'DATA รถถึงเส้นรอง KKN'!C:C,'DATA รถถึงเส้นรอง KKN'!AP:AP)</f>
        <v>#N/A</v>
      </c>
      <c r="K157" s="24" t="e">
        <f>_xlfn.XLOOKUP(E157,'DATA รถถึงเส้นรอง KKN'!C:C,'DATA รถถึงเส้นรอง KKN'!AV:AV)</f>
        <v>#N/A</v>
      </c>
      <c r="L157" s="25" t="e">
        <f t="shared" si="37"/>
        <v>#N/A</v>
      </c>
      <c r="M157" s="24" t="e">
        <f>_xlfn.XLOOKUP(E157,'DATA รถถึงเส้นรอง KKN'!C:C,'DATA รถถึงเส้นรอง KKN'!AW:AW)</f>
        <v>#N/A</v>
      </c>
      <c r="N157" s="24" t="e">
        <f>_xlfn.XLOOKUP(E157,'DATA รถถึงเส้นรอง KKN'!C:C,'DATA รถถึงเส้นรอง KKN'!AY:AY)</f>
        <v>#N/A</v>
      </c>
      <c r="O157" s="26" t="e">
        <f t="shared" si="38"/>
        <v>#N/A</v>
      </c>
      <c r="P157" s="24" t="e">
        <f>_xlfn.XLOOKUP(E157,'DATA รถถึงเส้นรอง KKN'!C:C,'DATA รถถึงเส้นรอง KKN'!AZ:AZ)</f>
        <v>#N/A</v>
      </c>
      <c r="Q157" s="60" t="str">
        <f t="shared" si="35"/>
        <v/>
      </c>
      <c r="R157" s="27"/>
      <c r="S157" s="28"/>
      <c r="T157" s="59" t="e">
        <f t="shared" si="36"/>
        <v>#N/A</v>
      </c>
      <c r="V157" s="25" t="e">
        <f t="shared" si="39"/>
        <v>#N/A</v>
      </c>
      <c r="W157" s="25" t="e">
        <f t="shared" si="40"/>
        <v>#N/A</v>
      </c>
      <c r="X157" s="29" t="e">
        <f t="shared" si="41"/>
        <v>#N/A</v>
      </c>
    </row>
    <row r="158" spans="2:24" ht="20.25">
      <c r="B158" s="20">
        <v>154</v>
      </c>
      <c r="C158" s="58" t="e">
        <f>_xlfn.XLOOKUP(D:D,'DATA รถถึงเส้นรอง KKN'!A:A,'DATA รถถึงเส้นรอง KKN'!B:B)</f>
        <v>#N/A</v>
      </c>
      <c r="D158" s="32" t="e">
        <f>_xlfn.XLOOKUP(E158,'DATA รถถึงเส้นรอง KKN'!C:C,'DATA รถถึงเส้นรอง KKN'!A:A)</f>
        <v>#N/A</v>
      </c>
      <c r="E158" s="32" cm="1">
        <f t="array" ref="E158">INDEX('DATA รถถึงเส้นรอง KKN'!C:C,ROW()-3)</f>
        <v>0</v>
      </c>
      <c r="F158" s="22" t="e">
        <f>_xlfn.XLOOKUP(E158,'DATA รถถึงเส้นรอง KKN'!C:C,'DATA รถถึงเส้นรอง KKN'!O:O)</f>
        <v>#N/A</v>
      </c>
      <c r="G158" s="22" t="e">
        <f>_xlfn.XLOOKUP(E158,'DATA รถถึงเส้นรอง KKN'!C:C,'DATA รถถึงเส้นรอง KKN'!L:L)</f>
        <v>#N/A</v>
      </c>
      <c r="H158" s="22" t="e">
        <f>_xlfn.XLOOKUP(E158,#REF!,#REF!)</f>
        <v>#REF!</v>
      </c>
      <c r="I158" s="22" t="e">
        <f>_xlfn.XLOOKUP(E158,#REF!,#REF!)</f>
        <v>#REF!</v>
      </c>
      <c r="J158" s="23" t="e">
        <f>_xlfn.XLOOKUP(E158,'DATA รถถึงเส้นรอง KKN'!C:C,'DATA รถถึงเส้นรอง KKN'!AP:AP)</f>
        <v>#N/A</v>
      </c>
      <c r="K158" s="24" t="e">
        <f>_xlfn.XLOOKUP(E158,'DATA รถถึงเส้นรอง KKN'!C:C,'DATA รถถึงเส้นรอง KKN'!AV:AV)</f>
        <v>#N/A</v>
      </c>
      <c r="L158" s="25" t="e">
        <f t="shared" si="37"/>
        <v>#N/A</v>
      </c>
      <c r="M158" s="24" t="e">
        <f>_xlfn.XLOOKUP(E158,'DATA รถถึงเส้นรอง KKN'!C:C,'DATA รถถึงเส้นรอง KKN'!AW:AW)</f>
        <v>#N/A</v>
      </c>
      <c r="N158" s="24" t="e">
        <f>_xlfn.XLOOKUP(E158,'DATA รถถึงเส้นรอง KKN'!C:C,'DATA รถถึงเส้นรอง KKN'!AY:AY)</f>
        <v>#N/A</v>
      </c>
      <c r="O158" s="26" t="e">
        <f t="shared" si="38"/>
        <v>#N/A</v>
      </c>
      <c r="P158" s="24" t="e">
        <f>_xlfn.XLOOKUP(E158,'DATA รถถึงเส้นรอง KKN'!C:C,'DATA รถถึงเส้นรอง KKN'!AZ:AZ)</f>
        <v>#N/A</v>
      </c>
      <c r="Q158" s="60"/>
      <c r="R158" s="27"/>
      <c r="S158" s="28"/>
      <c r="T158" s="59" t="e">
        <f t="shared" si="36"/>
        <v>#N/A</v>
      </c>
      <c r="V158" s="25" t="e">
        <f t="shared" si="39"/>
        <v>#N/A</v>
      </c>
      <c r="W158" s="25" t="e">
        <f t="shared" si="40"/>
        <v>#N/A</v>
      </c>
      <c r="X158" s="29" t="e">
        <f t="shared" si="41"/>
        <v>#N/A</v>
      </c>
    </row>
    <row r="159" spans="2:24" ht="20.25">
      <c r="B159" s="20">
        <v>155</v>
      </c>
      <c r="C159" s="58" t="e">
        <f>_xlfn.XLOOKUP(D:D,'DATA รถถึงเส้นรอง KKN'!A:A,'DATA รถถึงเส้นรอง KKN'!B:B)</f>
        <v>#N/A</v>
      </c>
      <c r="D159" s="32" t="e">
        <f>_xlfn.XLOOKUP(E159,'DATA รถถึงเส้นรอง KKN'!C:C,'DATA รถถึงเส้นรอง KKN'!A:A)</f>
        <v>#N/A</v>
      </c>
      <c r="E159" s="32" cm="1">
        <f t="array" ref="E159">INDEX('DATA รถถึงเส้นรอง KKN'!C:C,ROW()-3)</f>
        <v>0</v>
      </c>
      <c r="F159" s="22" t="e">
        <f>_xlfn.XLOOKUP(E159,'DATA รถถึงเส้นรอง KKN'!C:C,'DATA รถถึงเส้นรอง KKN'!O:O)</f>
        <v>#N/A</v>
      </c>
      <c r="G159" s="22" t="e">
        <f>_xlfn.XLOOKUP(E159,'DATA รถถึงเส้นรอง KKN'!C:C,'DATA รถถึงเส้นรอง KKN'!L:L)</f>
        <v>#N/A</v>
      </c>
      <c r="H159" s="22" t="e">
        <f>_xlfn.XLOOKUP(E159,#REF!,#REF!)</f>
        <v>#REF!</v>
      </c>
      <c r="I159" s="22" t="e">
        <f>_xlfn.XLOOKUP(E159,#REF!,#REF!)</f>
        <v>#REF!</v>
      </c>
      <c r="J159" s="23" t="e">
        <f>_xlfn.XLOOKUP(E159,'DATA รถถึงเส้นรอง KKN'!C:C,'DATA รถถึงเส้นรอง KKN'!AP:AP)</f>
        <v>#N/A</v>
      </c>
      <c r="K159" s="24" t="e">
        <f>_xlfn.XLOOKUP(E159,'DATA รถถึงเส้นรอง KKN'!C:C,'DATA รถถึงเส้นรอง KKN'!AV:AV)</f>
        <v>#N/A</v>
      </c>
      <c r="L159" s="25" t="e">
        <f t="shared" si="37"/>
        <v>#N/A</v>
      </c>
      <c r="M159" s="24" t="e">
        <f>_xlfn.XLOOKUP(E159,'DATA รถถึงเส้นรอง KKN'!C:C,'DATA รถถึงเส้นรอง KKN'!AW:AW)</f>
        <v>#N/A</v>
      </c>
      <c r="N159" s="24" t="e">
        <f>_xlfn.XLOOKUP(E159,'DATA รถถึงเส้นรอง KKN'!C:C,'DATA รถถึงเส้นรอง KKN'!AY:AY)</f>
        <v>#N/A</v>
      </c>
      <c r="O159" s="26" t="e">
        <f t="shared" si="38"/>
        <v>#N/A</v>
      </c>
      <c r="P159" s="24" t="e">
        <f>_xlfn.XLOOKUP(E159,'DATA รถถึงเส้นรอง KKN'!C:C,'DATA รถถึงเส้นรอง KKN'!AZ:AZ)</f>
        <v>#N/A</v>
      </c>
      <c r="Q159" s="60"/>
      <c r="R159" s="27"/>
      <c r="S159" s="28"/>
      <c r="T159" s="59" t="e">
        <f t="shared" si="36"/>
        <v>#N/A</v>
      </c>
      <c r="V159" s="25" t="e">
        <f t="shared" si="39"/>
        <v>#N/A</v>
      </c>
      <c r="W159" s="25" t="e">
        <f t="shared" si="40"/>
        <v>#N/A</v>
      </c>
      <c r="X159" s="29" t="e">
        <f t="shared" si="41"/>
        <v>#N/A</v>
      </c>
    </row>
    <row r="160" spans="2:24" ht="20.25">
      <c r="B160" s="20">
        <v>156</v>
      </c>
      <c r="C160" s="58" t="e">
        <f>_xlfn.XLOOKUP(D:D,'DATA รถถึงเส้นรอง KKN'!A:A,'DATA รถถึงเส้นรอง KKN'!B:B)</f>
        <v>#N/A</v>
      </c>
      <c r="D160" s="32" t="e">
        <f>_xlfn.XLOOKUP(E160,'DATA รถถึงเส้นรอง KKN'!C:C,'DATA รถถึงเส้นรอง KKN'!A:A)</f>
        <v>#N/A</v>
      </c>
      <c r="E160" s="32" cm="1">
        <f t="array" ref="E160">INDEX('DATA รถถึงเส้นรอง KKN'!C:C,ROW()-3)</f>
        <v>0</v>
      </c>
      <c r="F160" s="22" t="e">
        <f>_xlfn.XLOOKUP(E160,'DATA รถถึงเส้นรอง KKN'!C:C,'DATA รถถึงเส้นรอง KKN'!O:O)</f>
        <v>#N/A</v>
      </c>
      <c r="G160" s="22" t="e">
        <f>_xlfn.XLOOKUP(E160,'DATA รถถึงเส้นรอง KKN'!C:C,'DATA รถถึงเส้นรอง KKN'!L:L)</f>
        <v>#N/A</v>
      </c>
      <c r="H160" s="22" t="e">
        <f>_xlfn.XLOOKUP(E160,#REF!,#REF!)</f>
        <v>#REF!</v>
      </c>
      <c r="I160" s="22" t="e">
        <f>_xlfn.XLOOKUP(E160,#REF!,#REF!)</f>
        <v>#REF!</v>
      </c>
      <c r="J160" s="23" t="e">
        <f>_xlfn.XLOOKUP(E160,'DATA รถถึงเส้นรอง KKN'!C:C,'DATA รถถึงเส้นรอง KKN'!AP:AP)</f>
        <v>#N/A</v>
      </c>
      <c r="K160" s="24" t="e">
        <f>_xlfn.XLOOKUP(E160,'DATA รถถึงเส้นรอง KKN'!C:C,'DATA รถถึงเส้นรอง KKN'!AV:AV)</f>
        <v>#N/A</v>
      </c>
      <c r="L160" s="25" t="e">
        <f t="shared" si="37"/>
        <v>#N/A</v>
      </c>
      <c r="M160" s="24" t="e">
        <f>_xlfn.XLOOKUP(E160,'DATA รถถึงเส้นรอง KKN'!C:C,'DATA รถถึงเส้นรอง KKN'!AW:AW)</f>
        <v>#N/A</v>
      </c>
      <c r="N160" s="24" t="e">
        <f>_xlfn.XLOOKUP(E160,'DATA รถถึงเส้นรอง KKN'!C:C,'DATA รถถึงเส้นรอง KKN'!AY:AY)</f>
        <v>#N/A</v>
      </c>
      <c r="O160" s="26" t="e">
        <f t="shared" si="38"/>
        <v>#N/A</v>
      </c>
      <c r="P160" s="24" t="e">
        <f>_xlfn.XLOOKUP(E160,'DATA รถถึงเส้นรอง KKN'!C:C,'DATA รถถึงเส้นรอง KKN'!AZ:AZ)</f>
        <v>#N/A</v>
      </c>
      <c r="Q160" s="60"/>
      <c r="R160" s="27"/>
      <c r="S160" s="28"/>
      <c r="T160" s="59" t="e">
        <f t="shared" si="36"/>
        <v>#N/A</v>
      </c>
      <c r="V160" s="25" t="e">
        <f t="shared" si="39"/>
        <v>#N/A</v>
      </c>
      <c r="W160" s="25" t="e">
        <f t="shared" si="40"/>
        <v>#N/A</v>
      </c>
      <c r="X160" s="29" t="e">
        <f t="shared" si="41"/>
        <v>#N/A</v>
      </c>
    </row>
    <row r="161" spans="2:24" ht="20.25">
      <c r="B161" s="20">
        <v>157</v>
      </c>
      <c r="C161" s="58" t="e">
        <f>_xlfn.XLOOKUP(D:D,'DATA รถถึงเส้นรอง KKN'!A:A,'DATA รถถึงเส้นรอง KKN'!B:B)</f>
        <v>#N/A</v>
      </c>
      <c r="D161" s="32" t="e">
        <f>_xlfn.XLOOKUP(E161,'DATA รถถึงเส้นรอง KKN'!C:C,'DATA รถถึงเส้นรอง KKN'!A:A)</f>
        <v>#N/A</v>
      </c>
      <c r="E161" s="32" cm="1">
        <f t="array" ref="E161">INDEX('DATA รถถึงเส้นรอง KKN'!C:C,ROW()-3)</f>
        <v>0</v>
      </c>
      <c r="F161" s="22" t="e">
        <f>_xlfn.XLOOKUP(E161,'DATA รถถึงเส้นรอง KKN'!C:C,'DATA รถถึงเส้นรอง KKN'!O:O)</f>
        <v>#N/A</v>
      </c>
      <c r="G161" s="22" t="e">
        <f>_xlfn.XLOOKUP(E161,'DATA รถถึงเส้นรอง KKN'!C:C,'DATA รถถึงเส้นรอง KKN'!L:L)</f>
        <v>#N/A</v>
      </c>
      <c r="H161" s="22" t="e">
        <f>_xlfn.XLOOKUP(E161,#REF!,#REF!)</f>
        <v>#REF!</v>
      </c>
      <c r="I161" s="22" t="e">
        <f>_xlfn.XLOOKUP(E161,#REF!,#REF!)</f>
        <v>#REF!</v>
      </c>
      <c r="J161" s="23" t="e">
        <f>_xlfn.XLOOKUP(E161,'DATA รถถึงเส้นรอง KKN'!C:C,'DATA รถถึงเส้นรอง KKN'!AP:AP)</f>
        <v>#N/A</v>
      </c>
      <c r="K161" s="24" t="e">
        <f>_xlfn.XLOOKUP(E161,'DATA รถถึงเส้นรอง KKN'!C:C,'DATA รถถึงเส้นรอง KKN'!AV:AV)</f>
        <v>#N/A</v>
      </c>
      <c r="L161" s="25" t="e">
        <f t="shared" si="37"/>
        <v>#N/A</v>
      </c>
      <c r="M161" s="24" t="e">
        <f>_xlfn.XLOOKUP(E161,'DATA รถถึงเส้นรอง KKN'!C:C,'DATA รถถึงเส้นรอง KKN'!AW:AW)</f>
        <v>#N/A</v>
      </c>
      <c r="N161" s="24" t="e">
        <f>_xlfn.XLOOKUP(E161,'DATA รถถึงเส้นรอง KKN'!C:C,'DATA รถถึงเส้นรอง KKN'!AY:AY)</f>
        <v>#N/A</v>
      </c>
      <c r="O161" s="26" t="e">
        <f t="shared" si="38"/>
        <v>#N/A</v>
      </c>
      <c r="P161" s="24" t="e">
        <f>_xlfn.XLOOKUP(E161,'DATA รถถึงเส้นรอง KKN'!C:C,'DATA รถถึงเส้นรอง KKN'!AZ:AZ)</f>
        <v>#N/A</v>
      </c>
      <c r="Q161" s="60"/>
      <c r="R161" s="27"/>
      <c r="S161" s="28"/>
      <c r="T161" s="59" t="e">
        <f t="shared" si="36"/>
        <v>#N/A</v>
      </c>
      <c r="V161" s="25" t="e">
        <f t="shared" si="39"/>
        <v>#N/A</v>
      </c>
      <c r="W161" s="25" t="e">
        <f t="shared" si="40"/>
        <v>#N/A</v>
      </c>
      <c r="X161" s="29" t="e">
        <f t="shared" si="41"/>
        <v>#N/A</v>
      </c>
    </row>
    <row r="162" spans="2:24" ht="20.25">
      <c r="B162" s="20">
        <v>158</v>
      </c>
      <c r="C162" s="58" t="e">
        <f>_xlfn.XLOOKUP(D:D,'DATA รถถึงเส้นรอง KKN'!A:A,'DATA รถถึงเส้นรอง KKN'!B:B)</f>
        <v>#N/A</v>
      </c>
      <c r="D162" s="32" t="e">
        <f>_xlfn.XLOOKUP(E162,'DATA รถถึงเส้นรอง KKN'!C:C,'DATA รถถึงเส้นรอง KKN'!A:A)</f>
        <v>#N/A</v>
      </c>
      <c r="E162" s="32" cm="1">
        <f t="array" ref="E162">INDEX('DATA รถถึงเส้นรอง KKN'!C:C,ROW()-3)</f>
        <v>0</v>
      </c>
      <c r="F162" s="22" t="e">
        <f>_xlfn.XLOOKUP(E162,'DATA รถถึงเส้นรอง KKN'!C:C,'DATA รถถึงเส้นรอง KKN'!O:O)</f>
        <v>#N/A</v>
      </c>
      <c r="G162" s="22" t="e">
        <f>_xlfn.XLOOKUP(E162,'DATA รถถึงเส้นรอง KKN'!C:C,'DATA รถถึงเส้นรอง KKN'!L:L)</f>
        <v>#N/A</v>
      </c>
      <c r="H162" s="22" t="e">
        <f>_xlfn.XLOOKUP(E162,#REF!,#REF!)</f>
        <v>#REF!</v>
      </c>
      <c r="I162" s="22" t="e">
        <f>_xlfn.XLOOKUP(E162,#REF!,#REF!)</f>
        <v>#REF!</v>
      </c>
      <c r="J162" s="23" t="e">
        <f>_xlfn.XLOOKUP(E162,'DATA รถถึงเส้นรอง KKN'!C:C,'DATA รถถึงเส้นรอง KKN'!AP:AP)</f>
        <v>#N/A</v>
      </c>
      <c r="K162" s="24" t="e">
        <f>_xlfn.XLOOKUP(E162,'DATA รถถึงเส้นรอง KKN'!C:C,'DATA รถถึงเส้นรอง KKN'!AV:AV)</f>
        <v>#N/A</v>
      </c>
      <c r="L162" s="25" t="e">
        <f t="shared" si="37"/>
        <v>#N/A</v>
      </c>
      <c r="M162" s="24" t="e">
        <f>_xlfn.XLOOKUP(E162,'DATA รถถึงเส้นรอง KKN'!C:C,'DATA รถถึงเส้นรอง KKN'!AW:AW)</f>
        <v>#N/A</v>
      </c>
      <c r="N162" s="24" t="e">
        <f>_xlfn.XLOOKUP(E162,'DATA รถถึงเส้นรอง KKN'!C:C,'DATA รถถึงเส้นรอง KKN'!AY:AY)</f>
        <v>#N/A</v>
      </c>
      <c r="O162" s="26" t="e">
        <f t="shared" si="38"/>
        <v>#N/A</v>
      </c>
      <c r="P162" s="24" t="e">
        <f>_xlfn.XLOOKUP(E162,'DATA รถถึงเส้นรอง KKN'!C:C,'DATA รถถึงเส้นรอง KKN'!AZ:AZ)</f>
        <v>#N/A</v>
      </c>
      <c r="Q162" s="60"/>
      <c r="R162" s="27"/>
      <c r="S162" s="28"/>
      <c r="T162" s="59" t="e">
        <f t="shared" si="36"/>
        <v>#N/A</v>
      </c>
      <c r="V162" s="25" t="e">
        <f t="shared" si="39"/>
        <v>#N/A</v>
      </c>
      <c r="W162" s="25" t="e">
        <f t="shared" si="40"/>
        <v>#N/A</v>
      </c>
      <c r="X162" s="29" t="e">
        <f t="shared" si="41"/>
        <v>#N/A</v>
      </c>
    </row>
    <row r="163" spans="2:24" ht="20.25">
      <c r="B163" s="20">
        <v>159</v>
      </c>
      <c r="C163" s="58" t="e">
        <f>_xlfn.XLOOKUP(D:D,'DATA รถถึงเส้นรอง KKN'!A:A,'DATA รถถึงเส้นรอง KKN'!B:B)</f>
        <v>#N/A</v>
      </c>
      <c r="D163" s="32" t="e">
        <f>_xlfn.XLOOKUP(E163,'DATA รถถึงเส้นรอง KKN'!C:C,'DATA รถถึงเส้นรอง KKN'!A:A)</f>
        <v>#N/A</v>
      </c>
      <c r="E163" s="32" cm="1">
        <f t="array" ref="E163">INDEX('DATA รถถึงเส้นรอง KKN'!C:C,ROW()-3)</f>
        <v>0</v>
      </c>
      <c r="F163" s="22" t="e">
        <f>_xlfn.XLOOKUP(E163,'DATA รถถึงเส้นรอง KKN'!C:C,'DATA รถถึงเส้นรอง KKN'!O:O)</f>
        <v>#N/A</v>
      </c>
      <c r="G163" s="22" t="e">
        <f>_xlfn.XLOOKUP(E163,'DATA รถถึงเส้นรอง KKN'!C:C,'DATA รถถึงเส้นรอง KKN'!L:L)</f>
        <v>#N/A</v>
      </c>
      <c r="H163" s="22" t="e">
        <f>_xlfn.XLOOKUP(E163,#REF!,#REF!)</f>
        <v>#REF!</v>
      </c>
      <c r="I163" s="22" t="e">
        <f>_xlfn.XLOOKUP(E163,#REF!,#REF!)</f>
        <v>#REF!</v>
      </c>
      <c r="J163" s="23" t="e">
        <f>_xlfn.XLOOKUP(E163,'DATA รถถึงเส้นรอง KKN'!C:C,'DATA รถถึงเส้นรอง KKN'!AP:AP)</f>
        <v>#N/A</v>
      </c>
      <c r="K163" s="24" t="e">
        <f>_xlfn.XLOOKUP(E163,'DATA รถถึงเส้นรอง KKN'!C:C,'DATA รถถึงเส้นรอง KKN'!AV:AV)</f>
        <v>#N/A</v>
      </c>
      <c r="L163" s="25" t="e">
        <f t="shared" si="37"/>
        <v>#N/A</v>
      </c>
      <c r="M163" s="24" t="e">
        <f>_xlfn.XLOOKUP(E163,'DATA รถถึงเส้นรอง KKN'!C:C,'DATA รถถึงเส้นรอง KKN'!AW:AW)</f>
        <v>#N/A</v>
      </c>
      <c r="N163" s="24" t="e">
        <f>_xlfn.XLOOKUP(E163,'DATA รถถึงเส้นรอง KKN'!C:C,'DATA รถถึงเส้นรอง KKN'!AY:AY)</f>
        <v>#N/A</v>
      </c>
      <c r="O163" s="26" t="e">
        <f t="shared" si="38"/>
        <v>#N/A</v>
      </c>
      <c r="P163" s="24" t="e">
        <f>_xlfn.XLOOKUP(E163,'DATA รถถึงเส้นรอง KKN'!C:C,'DATA รถถึงเส้นรอง KKN'!AZ:AZ)</f>
        <v>#N/A</v>
      </c>
      <c r="Q163" s="60"/>
      <c r="R163" s="27"/>
      <c r="S163" s="28"/>
      <c r="T163" s="59" t="e">
        <f t="shared" si="36"/>
        <v>#N/A</v>
      </c>
      <c r="V163" s="25" t="e">
        <f t="shared" si="39"/>
        <v>#N/A</v>
      </c>
      <c r="W163" s="25" t="e">
        <f t="shared" si="40"/>
        <v>#N/A</v>
      </c>
      <c r="X163" s="29" t="e">
        <f t="shared" si="41"/>
        <v>#N/A</v>
      </c>
    </row>
    <row r="164" spans="2:24" ht="20.25">
      <c r="B164" s="20">
        <v>160</v>
      </c>
      <c r="C164" s="58" t="e">
        <f>_xlfn.XLOOKUP(D:D,'DATA รถถึงเส้นรอง KKN'!A:A,'DATA รถถึงเส้นรอง KKN'!B:B)</f>
        <v>#N/A</v>
      </c>
      <c r="D164" s="32" t="e">
        <f>_xlfn.XLOOKUP(E164,'DATA รถถึงเส้นรอง KKN'!C:C,'DATA รถถึงเส้นรอง KKN'!A:A)</f>
        <v>#N/A</v>
      </c>
      <c r="E164" s="32" cm="1">
        <f t="array" ref="E164">INDEX('DATA รถถึงเส้นรอง KKN'!C:C,ROW()-3)</f>
        <v>0</v>
      </c>
      <c r="F164" s="22" t="e">
        <f>_xlfn.XLOOKUP(E164,'DATA รถถึงเส้นรอง KKN'!C:C,'DATA รถถึงเส้นรอง KKN'!O:O)</f>
        <v>#N/A</v>
      </c>
      <c r="G164" s="22" t="e">
        <f>_xlfn.XLOOKUP(E164,'DATA รถถึงเส้นรอง KKN'!C:C,'DATA รถถึงเส้นรอง KKN'!L:L)</f>
        <v>#N/A</v>
      </c>
      <c r="H164" s="22" t="e">
        <f>_xlfn.XLOOKUP(E164,#REF!,#REF!)</f>
        <v>#REF!</v>
      </c>
      <c r="I164" s="22" t="e">
        <f>_xlfn.XLOOKUP(E164,#REF!,#REF!)</f>
        <v>#REF!</v>
      </c>
      <c r="J164" s="23" t="e">
        <f>_xlfn.XLOOKUP(E164,'DATA รถถึงเส้นรอง KKN'!C:C,'DATA รถถึงเส้นรอง KKN'!AP:AP)</f>
        <v>#N/A</v>
      </c>
      <c r="K164" s="24" t="e">
        <f>_xlfn.XLOOKUP(E164,'DATA รถถึงเส้นรอง KKN'!C:C,'DATA รถถึงเส้นรอง KKN'!AV:AV)</f>
        <v>#N/A</v>
      </c>
      <c r="L164" s="25" t="e">
        <f t="shared" si="37"/>
        <v>#N/A</v>
      </c>
      <c r="M164" s="24" t="e">
        <f>_xlfn.XLOOKUP(E164,'DATA รถถึงเส้นรอง KKN'!C:C,'DATA รถถึงเส้นรอง KKN'!AW:AW)</f>
        <v>#N/A</v>
      </c>
      <c r="N164" s="24" t="e">
        <f>_xlfn.XLOOKUP(E164,'DATA รถถึงเส้นรอง KKN'!C:C,'DATA รถถึงเส้นรอง KKN'!AY:AY)</f>
        <v>#N/A</v>
      </c>
      <c r="O164" s="26" t="e">
        <f t="shared" si="38"/>
        <v>#N/A</v>
      </c>
      <c r="P164" s="24" t="e">
        <f>_xlfn.XLOOKUP(E164,'DATA รถถึงเส้นรอง KKN'!C:C,'DATA รถถึงเส้นรอง KKN'!AZ:AZ)</f>
        <v>#N/A</v>
      </c>
      <c r="Q164" s="60"/>
      <c r="R164" s="27"/>
      <c r="S164" s="28"/>
      <c r="T164" s="59" t="e">
        <f t="shared" si="36"/>
        <v>#N/A</v>
      </c>
      <c r="V164" s="25" t="e">
        <f t="shared" si="39"/>
        <v>#N/A</v>
      </c>
      <c r="W164" s="25" t="e">
        <f t="shared" si="40"/>
        <v>#N/A</v>
      </c>
      <c r="X164" s="29" t="e">
        <f t="shared" si="41"/>
        <v>#N/A</v>
      </c>
    </row>
    <row r="165" spans="2:24" ht="20.25">
      <c r="B165" s="20">
        <v>161</v>
      </c>
      <c r="C165" s="58" t="e">
        <f>_xlfn.XLOOKUP(D:D,'DATA รถถึงเส้นรอง KKN'!A:A,'DATA รถถึงเส้นรอง KKN'!B:B)</f>
        <v>#N/A</v>
      </c>
      <c r="D165" s="32" t="e">
        <f>_xlfn.XLOOKUP(E165,'DATA รถถึงเส้นรอง KKN'!C:C,'DATA รถถึงเส้นรอง KKN'!A:A)</f>
        <v>#N/A</v>
      </c>
      <c r="E165" s="32" cm="1">
        <f t="array" ref="E165">INDEX('DATA รถถึงเส้นรอง KKN'!C:C,ROW()-3)</f>
        <v>0</v>
      </c>
      <c r="F165" s="22" t="e">
        <f>_xlfn.XLOOKUP(E165,'DATA รถถึงเส้นรอง KKN'!C:C,'DATA รถถึงเส้นรอง KKN'!O:O)</f>
        <v>#N/A</v>
      </c>
      <c r="G165" s="22" t="e">
        <f>_xlfn.XLOOKUP(E165,'DATA รถถึงเส้นรอง KKN'!C:C,'DATA รถถึงเส้นรอง KKN'!L:L)</f>
        <v>#N/A</v>
      </c>
      <c r="H165" s="22" t="e">
        <f>_xlfn.XLOOKUP(E165,#REF!,#REF!)</f>
        <v>#REF!</v>
      </c>
      <c r="I165" s="22" t="e">
        <f>_xlfn.XLOOKUP(E165,#REF!,#REF!)</f>
        <v>#REF!</v>
      </c>
      <c r="J165" s="23" t="e">
        <f>_xlfn.XLOOKUP(E165,'DATA รถถึงเส้นรอง KKN'!C:C,'DATA รถถึงเส้นรอง KKN'!AP:AP)</f>
        <v>#N/A</v>
      </c>
      <c r="K165" s="24" t="e">
        <f>_xlfn.XLOOKUP(E165,'DATA รถถึงเส้นรอง KKN'!C:C,'DATA รถถึงเส้นรอง KKN'!AV:AV)</f>
        <v>#N/A</v>
      </c>
      <c r="L165" s="25" t="e">
        <f t="shared" si="37"/>
        <v>#N/A</v>
      </c>
      <c r="M165" s="24" t="e">
        <f>_xlfn.XLOOKUP(E165,'DATA รถถึงเส้นรอง KKN'!C:C,'DATA รถถึงเส้นรอง KKN'!AW:AW)</f>
        <v>#N/A</v>
      </c>
      <c r="N165" s="24" t="e">
        <f>_xlfn.XLOOKUP(E165,'DATA รถถึงเส้นรอง KKN'!C:C,'DATA รถถึงเส้นรอง KKN'!AY:AY)</f>
        <v>#N/A</v>
      </c>
      <c r="O165" s="26" t="e">
        <f t="shared" si="38"/>
        <v>#N/A</v>
      </c>
      <c r="P165" s="24" t="e">
        <f>_xlfn.XLOOKUP(E165,'DATA รถถึงเส้นรอง KKN'!C:C,'DATA รถถึงเส้นรอง KKN'!AZ:AZ)</f>
        <v>#N/A</v>
      </c>
      <c r="Q165" s="60"/>
      <c r="R165" s="27"/>
      <c r="S165" s="28"/>
      <c r="T165" s="59" t="e">
        <f t="shared" si="36"/>
        <v>#N/A</v>
      </c>
      <c r="V165" s="25" t="e">
        <f t="shared" si="39"/>
        <v>#N/A</v>
      </c>
      <c r="W165" s="25" t="e">
        <f t="shared" si="40"/>
        <v>#N/A</v>
      </c>
      <c r="X165" s="29" t="e">
        <f t="shared" si="41"/>
        <v>#N/A</v>
      </c>
    </row>
    <row r="166" spans="2:24" ht="20.25">
      <c r="B166" s="20">
        <v>162</v>
      </c>
      <c r="C166" s="58" t="e">
        <f>_xlfn.XLOOKUP(D:D,'DATA รถถึงเส้นรอง KKN'!A:A,'DATA รถถึงเส้นรอง KKN'!B:B)</f>
        <v>#N/A</v>
      </c>
      <c r="D166" s="32" t="e">
        <f>_xlfn.XLOOKUP(E166,'DATA รถถึงเส้นรอง KKN'!C:C,'DATA รถถึงเส้นรอง KKN'!A:A)</f>
        <v>#N/A</v>
      </c>
      <c r="E166" s="32" cm="1">
        <f t="array" ref="E166">INDEX('DATA รถถึงเส้นรอง KKN'!C:C,ROW()-3)</f>
        <v>0</v>
      </c>
      <c r="F166" s="22" t="e">
        <f>_xlfn.XLOOKUP(E166,'DATA รถถึงเส้นรอง KKN'!C:C,'DATA รถถึงเส้นรอง KKN'!O:O)</f>
        <v>#N/A</v>
      </c>
      <c r="G166" s="22" t="e">
        <f>_xlfn.XLOOKUP(E166,'DATA รถถึงเส้นรอง KKN'!C:C,'DATA รถถึงเส้นรอง KKN'!L:L)</f>
        <v>#N/A</v>
      </c>
      <c r="H166" s="22" t="e">
        <f>_xlfn.XLOOKUP(E166,#REF!,#REF!)</f>
        <v>#REF!</v>
      </c>
      <c r="I166" s="22" t="e">
        <f>_xlfn.XLOOKUP(E166,#REF!,#REF!)</f>
        <v>#REF!</v>
      </c>
      <c r="J166" s="23" t="e">
        <f>_xlfn.XLOOKUP(E166,'DATA รถถึงเส้นรอง KKN'!C:C,'DATA รถถึงเส้นรอง KKN'!AP:AP)</f>
        <v>#N/A</v>
      </c>
      <c r="K166" s="24" t="e">
        <f>_xlfn.XLOOKUP(E166,'DATA รถถึงเส้นรอง KKN'!C:C,'DATA รถถึงเส้นรอง KKN'!AV:AV)</f>
        <v>#N/A</v>
      </c>
      <c r="L166" s="25" t="e">
        <f t="shared" si="37"/>
        <v>#N/A</v>
      </c>
      <c r="M166" s="24" t="e">
        <f>_xlfn.XLOOKUP(E166,'DATA รถถึงเส้นรอง KKN'!C:C,'DATA รถถึงเส้นรอง KKN'!AW:AW)</f>
        <v>#N/A</v>
      </c>
      <c r="N166" s="24" t="e">
        <f>_xlfn.XLOOKUP(E166,'DATA รถถึงเส้นรอง KKN'!C:C,'DATA รถถึงเส้นรอง KKN'!AY:AY)</f>
        <v>#N/A</v>
      </c>
      <c r="O166" s="26" t="e">
        <f t="shared" si="38"/>
        <v>#N/A</v>
      </c>
      <c r="P166" s="24" t="e">
        <f>_xlfn.XLOOKUP(E166,'DATA รถถึงเส้นรอง KKN'!C:C,'DATA รถถึงเส้นรอง KKN'!AZ:AZ)</f>
        <v>#N/A</v>
      </c>
      <c r="Q166" s="60"/>
      <c r="R166" s="27"/>
      <c r="S166" s="28"/>
      <c r="T166" s="59" t="e">
        <f t="shared" si="36"/>
        <v>#N/A</v>
      </c>
      <c r="V166" s="25" t="e">
        <f t="shared" si="39"/>
        <v>#N/A</v>
      </c>
      <c r="W166" s="25" t="e">
        <f t="shared" si="40"/>
        <v>#N/A</v>
      </c>
      <c r="X166" s="29" t="e">
        <f t="shared" si="41"/>
        <v>#N/A</v>
      </c>
    </row>
    <row r="167" spans="2:24" ht="20.25">
      <c r="B167" s="20">
        <v>163</v>
      </c>
      <c r="C167" s="58" t="e">
        <f>_xlfn.XLOOKUP(D:D,'DATA รถถึงเส้นรอง KKN'!A:A,'DATA รถถึงเส้นรอง KKN'!B:B)</f>
        <v>#N/A</v>
      </c>
      <c r="D167" s="32" t="e">
        <f>_xlfn.XLOOKUP(E167,'DATA รถถึงเส้นรอง KKN'!C:C,'DATA รถถึงเส้นรอง KKN'!A:A)</f>
        <v>#N/A</v>
      </c>
      <c r="E167" s="32" cm="1">
        <f t="array" ref="E167">INDEX('DATA รถถึงเส้นรอง KKN'!C:C,ROW()-3)</f>
        <v>0</v>
      </c>
      <c r="F167" s="22" t="e">
        <f>_xlfn.XLOOKUP(E167,'DATA รถถึงเส้นรอง KKN'!C:C,'DATA รถถึงเส้นรอง KKN'!O:O)</f>
        <v>#N/A</v>
      </c>
      <c r="G167" s="22" t="e">
        <f>_xlfn.XLOOKUP(E167,'DATA รถถึงเส้นรอง KKN'!C:C,'DATA รถถึงเส้นรอง KKN'!L:L)</f>
        <v>#N/A</v>
      </c>
      <c r="H167" s="22" t="e">
        <f>_xlfn.XLOOKUP(E167,#REF!,#REF!)</f>
        <v>#REF!</v>
      </c>
      <c r="I167" s="22" t="e">
        <f>_xlfn.XLOOKUP(E167,#REF!,#REF!)</f>
        <v>#REF!</v>
      </c>
      <c r="J167" s="23" t="e">
        <f>_xlfn.XLOOKUP(E167,'DATA รถถึงเส้นรอง KKN'!C:C,'DATA รถถึงเส้นรอง KKN'!AP:AP)</f>
        <v>#N/A</v>
      </c>
      <c r="K167" s="24" t="e">
        <f>_xlfn.XLOOKUP(E167,'DATA รถถึงเส้นรอง KKN'!C:C,'DATA รถถึงเส้นรอง KKN'!AV:AV)</f>
        <v>#N/A</v>
      </c>
      <c r="L167" s="25" t="e">
        <f t="shared" si="37"/>
        <v>#N/A</v>
      </c>
      <c r="M167" s="24" t="e">
        <f>_xlfn.XLOOKUP(E167,'DATA รถถึงเส้นรอง KKN'!C:C,'DATA รถถึงเส้นรอง KKN'!AW:AW)</f>
        <v>#N/A</v>
      </c>
      <c r="N167" s="24" t="e">
        <f>_xlfn.XLOOKUP(E167,'DATA รถถึงเส้นรอง KKN'!C:C,'DATA รถถึงเส้นรอง KKN'!AY:AY)</f>
        <v>#N/A</v>
      </c>
      <c r="O167" s="26" t="e">
        <f t="shared" si="38"/>
        <v>#N/A</v>
      </c>
      <c r="P167" s="24" t="e">
        <f>_xlfn.XLOOKUP(E167,'DATA รถถึงเส้นรอง KKN'!C:C,'DATA รถถึงเส้นรอง KKN'!AZ:AZ)</f>
        <v>#N/A</v>
      </c>
      <c r="Q167" s="60"/>
      <c r="R167" s="27"/>
      <c r="S167" s="28"/>
      <c r="T167" s="59" t="e">
        <f t="shared" si="36"/>
        <v>#N/A</v>
      </c>
      <c r="V167" s="25" t="e">
        <f t="shared" si="39"/>
        <v>#N/A</v>
      </c>
      <c r="W167" s="25" t="e">
        <f t="shared" si="40"/>
        <v>#N/A</v>
      </c>
      <c r="X167" s="29" t="e">
        <f t="shared" si="41"/>
        <v>#N/A</v>
      </c>
    </row>
    <row r="168" spans="2:24" ht="20.25">
      <c r="B168" s="20">
        <v>164</v>
      </c>
      <c r="C168" s="58" t="e">
        <f>_xlfn.XLOOKUP(D:D,'DATA รถถึงเส้นรอง KKN'!A:A,'DATA รถถึงเส้นรอง KKN'!B:B)</f>
        <v>#N/A</v>
      </c>
      <c r="D168" s="32" t="e">
        <f>_xlfn.XLOOKUP(E168,'DATA รถถึงเส้นรอง KKN'!C:C,'DATA รถถึงเส้นรอง KKN'!A:A)</f>
        <v>#N/A</v>
      </c>
      <c r="E168" s="32" cm="1">
        <f t="array" ref="E168">INDEX('DATA รถถึงเส้นรอง KKN'!C:C,ROW()-3)</f>
        <v>0</v>
      </c>
      <c r="F168" s="22" t="e">
        <f>_xlfn.XLOOKUP(E168,'DATA รถถึงเส้นรอง KKN'!C:C,'DATA รถถึงเส้นรอง KKN'!O:O)</f>
        <v>#N/A</v>
      </c>
      <c r="G168" s="22" t="e">
        <f>_xlfn.XLOOKUP(E168,'DATA รถถึงเส้นรอง KKN'!C:C,'DATA รถถึงเส้นรอง KKN'!L:L)</f>
        <v>#N/A</v>
      </c>
      <c r="H168" s="22" t="e">
        <f>_xlfn.XLOOKUP(E168,#REF!,#REF!)</f>
        <v>#REF!</v>
      </c>
      <c r="I168" s="22" t="e">
        <f>_xlfn.XLOOKUP(E168,#REF!,#REF!)</f>
        <v>#REF!</v>
      </c>
      <c r="J168" s="23" t="e">
        <f>_xlfn.XLOOKUP(E168,'DATA รถถึงเส้นรอง KKN'!C:C,'DATA รถถึงเส้นรอง KKN'!AP:AP)</f>
        <v>#N/A</v>
      </c>
      <c r="K168" s="24" t="e">
        <f>_xlfn.XLOOKUP(E168,'DATA รถถึงเส้นรอง KKN'!C:C,'DATA รถถึงเส้นรอง KKN'!AV:AV)</f>
        <v>#N/A</v>
      </c>
      <c r="L168" s="25" t="e">
        <f t="shared" si="37"/>
        <v>#N/A</v>
      </c>
      <c r="M168" s="24" t="e">
        <f>_xlfn.XLOOKUP(E168,'DATA รถถึงเส้นรอง KKN'!C:C,'DATA รถถึงเส้นรอง KKN'!AW:AW)</f>
        <v>#N/A</v>
      </c>
      <c r="N168" s="24" t="e">
        <f>_xlfn.XLOOKUP(E168,'DATA รถถึงเส้นรอง KKN'!C:C,'DATA รถถึงเส้นรอง KKN'!AY:AY)</f>
        <v>#N/A</v>
      </c>
      <c r="O168" s="26" t="e">
        <f t="shared" si="38"/>
        <v>#N/A</v>
      </c>
      <c r="P168" s="24" t="e">
        <f>_xlfn.XLOOKUP(E168,'DATA รถถึงเส้นรอง KKN'!C:C,'DATA รถถึงเส้นรอง KKN'!AZ:AZ)</f>
        <v>#N/A</v>
      </c>
      <c r="Q168" s="60"/>
      <c r="R168" s="27"/>
      <c r="S168" s="28"/>
      <c r="T168" s="59" t="e">
        <f t="shared" si="36"/>
        <v>#N/A</v>
      </c>
      <c r="V168" s="25" t="e">
        <f t="shared" si="39"/>
        <v>#N/A</v>
      </c>
      <c r="W168" s="25" t="e">
        <f t="shared" si="40"/>
        <v>#N/A</v>
      </c>
      <c r="X168" s="29" t="e">
        <f t="shared" si="41"/>
        <v>#N/A</v>
      </c>
    </row>
    <row r="169" spans="2:24" ht="20.25">
      <c r="B169" s="20">
        <v>165</v>
      </c>
      <c r="C169" s="58" t="e">
        <f>_xlfn.XLOOKUP(D:D,'DATA รถถึงเส้นรอง KKN'!A:A,'DATA รถถึงเส้นรอง KKN'!B:B)</f>
        <v>#N/A</v>
      </c>
      <c r="D169" s="32" t="e">
        <f>_xlfn.XLOOKUP(E169,'DATA รถถึงเส้นรอง KKN'!C:C,'DATA รถถึงเส้นรอง KKN'!A:A)</f>
        <v>#N/A</v>
      </c>
      <c r="E169" s="32" cm="1">
        <f t="array" ref="E169">INDEX('DATA รถถึงเส้นรอง KKN'!C:C,ROW()-3)</f>
        <v>0</v>
      </c>
      <c r="F169" s="22" t="e">
        <f>_xlfn.XLOOKUP(E169,'DATA รถถึงเส้นรอง KKN'!C:C,'DATA รถถึงเส้นรอง KKN'!O:O)</f>
        <v>#N/A</v>
      </c>
      <c r="G169" s="22" t="e">
        <f>_xlfn.XLOOKUP(E169,'DATA รถถึงเส้นรอง KKN'!C:C,'DATA รถถึงเส้นรอง KKN'!L:L)</f>
        <v>#N/A</v>
      </c>
      <c r="H169" s="22" t="e">
        <f>_xlfn.XLOOKUP(E169,#REF!,#REF!)</f>
        <v>#REF!</v>
      </c>
      <c r="I169" s="22" t="e">
        <f>_xlfn.XLOOKUP(E169,#REF!,#REF!)</f>
        <v>#REF!</v>
      </c>
      <c r="J169" s="23" t="e">
        <f>_xlfn.XLOOKUP(E169,'DATA รถถึงเส้นรอง KKN'!C:C,'DATA รถถึงเส้นรอง KKN'!AP:AP)</f>
        <v>#N/A</v>
      </c>
      <c r="K169" s="24" t="e">
        <f>_xlfn.XLOOKUP(E169,'DATA รถถึงเส้นรอง KKN'!C:C,'DATA รถถึงเส้นรอง KKN'!AV:AV)</f>
        <v>#N/A</v>
      </c>
      <c r="L169" s="25" t="e">
        <f t="shared" si="37"/>
        <v>#N/A</v>
      </c>
      <c r="M169" s="24" t="e">
        <f>_xlfn.XLOOKUP(E169,'DATA รถถึงเส้นรอง KKN'!C:C,'DATA รถถึงเส้นรอง KKN'!AW:AW)</f>
        <v>#N/A</v>
      </c>
      <c r="N169" s="24" t="e">
        <f>_xlfn.XLOOKUP(E169,'DATA รถถึงเส้นรอง KKN'!C:C,'DATA รถถึงเส้นรอง KKN'!AY:AY)</f>
        <v>#N/A</v>
      </c>
      <c r="O169" s="26" t="e">
        <f t="shared" si="38"/>
        <v>#N/A</v>
      </c>
      <c r="P169" s="24" t="e">
        <f>_xlfn.XLOOKUP(E169,'DATA รถถึงเส้นรอง KKN'!C:C,'DATA รถถึงเส้นรอง KKN'!AZ:AZ)</f>
        <v>#N/A</v>
      </c>
      <c r="Q169" s="60"/>
      <c r="R169" s="27"/>
      <c r="S169" s="28"/>
      <c r="T169" s="59" t="e">
        <f t="shared" si="36"/>
        <v>#N/A</v>
      </c>
      <c r="V169" s="25" t="e">
        <f t="shared" si="39"/>
        <v>#N/A</v>
      </c>
      <c r="W169" s="25" t="e">
        <f t="shared" si="40"/>
        <v>#N/A</v>
      </c>
      <c r="X169" s="29" t="e">
        <f t="shared" si="41"/>
        <v>#N/A</v>
      </c>
    </row>
    <row r="170" spans="2:24" ht="20.25">
      <c r="B170" s="20">
        <v>166</v>
      </c>
      <c r="C170" s="58" t="e">
        <f>_xlfn.XLOOKUP(D:D,'DATA รถถึงเส้นรอง KKN'!A:A,'DATA รถถึงเส้นรอง KKN'!B:B)</f>
        <v>#N/A</v>
      </c>
      <c r="D170" s="32" t="e">
        <f>_xlfn.XLOOKUP(E170,'DATA รถถึงเส้นรอง KKN'!C:C,'DATA รถถึงเส้นรอง KKN'!A:A)</f>
        <v>#N/A</v>
      </c>
      <c r="E170" s="32" cm="1">
        <f t="array" ref="E170">INDEX('DATA รถถึงเส้นรอง KKN'!C:C,ROW()-3)</f>
        <v>0</v>
      </c>
      <c r="F170" s="22" t="e">
        <f>_xlfn.XLOOKUP(E170,'DATA รถถึงเส้นรอง KKN'!C:C,'DATA รถถึงเส้นรอง KKN'!O:O)</f>
        <v>#N/A</v>
      </c>
      <c r="G170" s="22" t="e">
        <f>_xlfn.XLOOKUP(E170,'DATA รถถึงเส้นรอง KKN'!C:C,'DATA รถถึงเส้นรอง KKN'!L:L)</f>
        <v>#N/A</v>
      </c>
      <c r="H170" s="22" t="e">
        <f>_xlfn.XLOOKUP(E170,#REF!,#REF!)</f>
        <v>#REF!</v>
      </c>
      <c r="I170" s="22" t="e">
        <f>_xlfn.XLOOKUP(E170,#REF!,#REF!)</f>
        <v>#REF!</v>
      </c>
      <c r="J170" s="23" t="e">
        <f>_xlfn.XLOOKUP(E170,'DATA รถถึงเส้นรอง KKN'!C:C,'DATA รถถึงเส้นรอง KKN'!AP:AP)</f>
        <v>#N/A</v>
      </c>
      <c r="K170" s="24" t="e">
        <f>_xlfn.XLOOKUP(E170,'DATA รถถึงเส้นรอง KKN'!C:C,'DATA รถถึงเส้นรอง KKN'!AV:AV)</f>
        <v>#N/A</v>
      </c>
      <c r="L170" s="25" t="e">
        <f t="shared" si="37"/>
        <v>#N/A</v>
      </c>
      <c r="M170" s="24" t="e">
        <f>_xlfn.XLOOKUP(E170,'DATA รถถึงเส้นรอง KKN'!C:C,'DATA รถถึงเส้นรอง KKN'!AW:AW)</f>
        <v>#N/A</v>
      </c>
      <c r="N170" s="24" t="e">
        <f>_xlfn.XLOOKUP(E170,'DATA รถถึงเส้นรอง KKN'!C:C,'DATA รถถึงเส้นรอง KKN'!AY:AY)</f>
        <v>#N/A</v>
      </c>
      <c r="O170" s="26" t="e">
        <f t="shared" si="38"/>
        <v>#N/A</v>
      </c>
      <c r="P170" s="24" t="e">
        <f>_xlfn.XLOOKUP(E170,'DATA รถถึงเส้นรอง KKN'!C:C,'DATA รถถึงเส้นรอง KKN'!AZ:AZ)</f>
        <v>#N/A</v>
      </c>
      <c r="Q170" s="60"/>
      <c r="R170" s="27"/>
      <c r="S170" s="28"/>
      <c r="T170" s="59" t="e">
        <f t="shared" si="36"/>
        <v>#N/A</v>
      </c>
      <c r="V170" s="25" t="e">
        <f t="shared" si="39"/>
        <v>#N/A</v>
      </c>
      <c r="W170" s="25" t="e">
        <f t="shared" si="40"/>
        <v>#N/A</v>
      </c>
      <c r="X170" s="29" t="e">
        <f t="shared" si="41"/>
        <v>#N/A</v>
      </c>
    </row>
    <row r="171" spans="2:24" ht="20.25">
      <c r="B171" s="20">
        <v>167</v>
      </c>
      <c r="C171" s="58" t="e">
        <f>_xlfn.XLOOKUP(D:D,'DATA รถถึงเส้นรอง KKN'!A:A,'DATA รถถึงเส้นรอง KKN'!B:B)</f>
        <v>#N/A</v>
      </c>
      <c r="D171" s="32" t="e">
        <f>_xlfn.XLOOKUP(E171,'DATA รถถึงเส้นรอง KKN'!C:C,'DATA รถถึงเส้นรอง KKN'!A:A)</f>
        <v>#N/A</v>
      </c>
      <c r="E171" s="32" cm="1">
        <f t="array" ref="E171">INDEX('DATA รถถึงเส้นรอง KKN'!C:C,ROW()-3)</f>
        <v>0</v>
      </c>
      <c r="F171" s="22" t="e">
        <f>_xlfn.XLOOKUP(E171,'DATA รถถึงเส้นรอง KKN'!C:C,'DATA รถถึงเส้นรอง KKN'!O:O)</f>
        <v>#N/A</v>
      </c>
      <c r="G171" s="22" t="e">
        <f>_xlfn.XLOOKUP(E171,'DATA รถถึงเส้นรอง KKN'!C:C,'DATA รถถึงเส้นรอง KKN'!L:L)</f>
        <v>#N/A</v>
      </c>
      <c r="H171" s="22" t="e">
        <f>_xlfn.XLOOKUP(E171,#REF!,#REF!)</f>
        <v>#REF!</v>
      </c>
      <c r="I171" s="22" t="e">
        <f>_xlfn.XLOOKUP(E171,#REF!,#REF!)</f>
        <v>#REF!</v>
      </c>
      <c r="J171" s="23" t="e">
        <f>_xlfn.XLOOKUP(E171,'DATA รถถึงเส้นรอง KKN'!C:C,'DATA รถถึงเส้นรอง KKN'!AP:AP)</f>
        <v>#N/A</v>
      </c>
      <c r="K171" s="24" t="e">
        <f>_xlfn.XLOOKUP(E171,'DATA รถถึงเส้นรอง KKN'!C:C,'DATA รถถึงเส้นรอง KKN'!AV:AV)</f>
        <v>#N/A</v>
      </c>
      <c r="L171" s="25" t="e">
        <f t="shared" si="37"/>
        <v>#N/A</v>
      </c>
      <c r="M171" s="24" t="e">
        <f>_xlfn.XLOOKUP(E171,'DATA รถถึงเส้นรอง KKN'!C:C,'DATA รถถึงเส้นรอง KKN'!AW:AW)</f>
        <v>#N/A</v>
      </c>
      <c r="N171" s="24" t="e">
        <f>_xlfn.XLOOKUP(E171,'DATA รถถึงเส้นรอง KKN'!C:C,'DATA รถถึงเส้นรอง KKN'!AY:AY)</f>
        <v>#N/A</v>
      </c>
      <c r="O171" s="26" t="e">
        <f t="shared" si="38"/>
        <v>#N/A</v>
      </c>
      <c r="P171" s="24" t="e">
        <f>_xlfn.XLOOKUP(E171,'DATA รถถึงเส้นรอง KKN'!C:C,'DATA รถถึงเส้นรอง KKN'!AZ:AZ)</f>
        <v>#N/A</v>
      </c>
      <c r="Q171" s="60"/>
      <c r="R171" s="27"/>
      <c r="S171" s="28"/>
      <c r="T171" s="59" t="e">
        <f t="shared" si="36"/>
        <v>#N/A</v>
      </c>
      <c r="V171" s="25" t="e">
        <f t="shared" si="39"/>
        <v>#N/A</v>
      </c>
      <c r="W171" s="25" t="e">
        <f t="shared" si="40"/>
        <v>#N/A</v>
      </c>
      <c r="X171" s="29" t="e">
        <f t="shared" si="41"/>
        <v>#N/A</v>
      </c>
    </row>
    <row r="172" spans="2:24" ht="20.25">
      <c r="B172" s="20">
        <v>168</v>
      </c>
      <c r="C172" s="58" t="e">
        <f>_xlfn.XLOOKUP(D:D,'DATA รถถึงเส้นรอง KKN'!A:A,'DATA รถถึงเส้นรอง KKN'!B:B)</f>
        <v>#N/A</v>
      </c>
      <c r="D172" s="32" t="e">
        <f>_xlfn.XLOOKUP(E172,'DATA รถถึงเส้นรอง KKN'!C:C,'DATA รถถึงเส้นรอง KKN'!A:A)</f>
        <v>#N/A</v>
      </c>
      <c r="E172" s="32" cm="1">
        <f t="array" ref="E172">INDEX('DATA รถถึงเส้นรอง KKN'!C:C,ROW()-3)</f>
        <v>0</v>
      </c>
      <c r="F172" s="22" t="e">
        <f>_xlfn.XLOOKUP(E172,'DATA รถถึงเส้นรอง KKN'!C:C,'DATA รถถึงเส้นรอง KKN'!O:O)</f>
        <v>#N/A</v>
      </c>
      <c r="G172" s="22" t="e">
        <f>_xlfn.XLOOKUP(E172,'DATA รถถึงเส้นรอง KKN'!C:C,'DATA รถถึงเส้นรอง KKN'!L:L)</f>
        <v>#N/A</v>
      </c>
      <c r="H172" s="22" t="e">
        <f>_xlfn.XLOOKUP(E172,#REF!,#REF!)</f>
        <v>#REF!</v>
      </c>
      <c r="I172" s="22" t="e">
        <f>_xlfn.XLOOKUP(E172,#REF!,#REF!)</f>
        <v>#REF!</v>
      </c>
      <c r="J172" s="23" t="e">
        <f>_xlfn.XLOOKUP(E172,'DATA รถถึงเส้นรอง KKN'!C:C,'DATA รถถึงเส้นรอง KKN'!AP:AP)</f>
        <v>#N/A</v>
      </c>
      <c r="K172" s="24" t="e">
        <f>_xlfn.XLOOKUP(E172,'DATA รถถึงเส้นรอง KKN'!C:C,'DATA รถถึงเส้นรอง KKN'!AV:AV)</f>
        <v>#N/A</v>
      </c>
      <c r="L172" s="25" t="e">
        <f t="shared" si="37"/>
        <v>#N/A</v>
      </c>
      <c r="M172" s="24" t="e">
        <f>_xlfn.XLOOKUP(E172,'DATA รถถึงเส้นรอง KKN'!C:C,'DATA รถถึงเส้นรอง KKN'!AW:AW)</f>
        <v>#N/A</v>
      </c>
      <c r="N172" s="24" t="e">
        <f>_xlfn.XLOOKUP(E172,'DATA รถถึงเส้นรอง KKN'!C:C,'DATA รถถึงเส้นรอง KKN'!AY:AY)</f>
        <v>#N/A</v>
      </c>
      <c r="O172" s="26" t="e">
        <f t="shared" si="38"/>
        <v>#N/A</v>
      </c>
      <c r="P172" s="24" t="e">
        <f>_xlfn.XLOOKUP(E172,'DATA รถถึงเส้นรอง KKN'!C:C,'DATA รถถึงเส้นรอง KKN'!AZ:AZ)</f>
        <v>#N/A</v>
      </c>
      <c r="Q172" s="60"/>
      <c r="R172" s="27"/>
      <c r="S172" s="28"/>
      <c r="T172" s="59" t="e">
        <f t="shared" si="36"/>
        <v>#N/A</v>
      </c>
      <c r="V172" s="25" t="e">
        <f t="shared" si="39"/>
        <v>#N/A</v>
      </c>
      <c r="W172" s="25" t="e">
        <f t="shared" si="40"/>
        <v>#N/A</v>
      </c>
      <c r="X172" s="29" t="e">
        <f t="shared" si="41"/>
        <v>#N/A</v>
      </c>
    </row>
    <row r="173" spans="2:24" ht="20.25">
      <c r="B173" s="20">
        <v>169</v>
      </c>
      <c r="C173" s="58" t="e">
        <f>_xlfn.XLOOKUP(D:D,'DATA รถถึงเส้นรอง KKN'!A:A,'DATA รถถึงเส้นรอง KKN'!B:B)</f>
        <v>#N/A</v>
      </c>
      <c r="D173" s="32" t="e">
        <f>_xlfn.XLOOKUP(E173,'DATA รถถึงเส้นรอง KKN'!C:C,'DATA รถถึงเส้นรอง KKN'!A:A)</f>
        <v>#N/A</v>
      </c>
      <c r="E173" s="32" cm="1">
        <f t="array" ref="E173">INDEX('DATA รถถึงเส้นรอง KKN'!C:C,ROW()-3)</f>
        <v>0</v>
      </c>
      <c r="F173" s="22" t="e">
        <f>_xlfn.XLOOKUP(E173,'DATA รถถึงเส้นรอง KKN'!C:C,'DATA รถถึงเส้นรอง KKN'!O:O)</f>
        <v>#N/A</v>
      </c>
      <c r="G173" s="22" t="e">
        <f>_xlfn.XLOOKUP(E173,'DATA รถถึงเส้นรอง KKN'!C:C,'DATA รถถึงเส้นรอง KKN'!L:L)</f>
        <v>#N/A</v>
      </c>
      <c r="H173" s="22" t="e">
        <f>_xlfn.XLOOKUP(E173,#REF!,#REF!)</f>
        <v>#REF!</v>
      </c>
      <c r="I173" s="22" t="e">
        <f>_xlfn.XLOOKUP(E173,#REF!,#REF!)</f>
        <v>#REF!</v>
      </c>
      <c r="J173" s="23" t="e">
        <f>_xlfn.XLOOKUP(E173,'DATA รถถึงเส้นรอง KKN'!C:C,'DATA รถถึงเส้นรอง KKN'!AP:AP)</f>
        <v>#N/A</v>
      </c>
      <c r="K173" s="24" t="e">
        <f>_xlfn.XLOOKUP(E173,'DATA รถถึงเส้นรอง KKN'!C:C,'DATA รถถึงเส้นรอง KKN'!AV:AV)</f>
        <v>#N/A</v>
      </c>
      <c r="L173" s="25" t="e">
        <f t="shared" si="37"/>
        <v>#N/A</v>
      </c>
      <c r="M173" s="24" t="e">
        <f>_xlfn.XLOOKUP(E173,'DATA รถถึงเส้นรอง KKN'!C:C,'DATA รถถึงเส้นรอง KKN'!AW:AW)</f>
        <v>#N/A</v>
      </c>
      <c r="N173" s="24" t="e">
        <f>_xlfn.XLOOKUP(E173,'DATA รถถึงเส้นรอง KKN'!C:C,'DATA รถถึงเส้นรอง KKN'!AY:AY)</f>
        <v>#N/A</v>
      </c>
      <c r="O173" s="26" t="e">
        <f t="shared" si="38"/>
        <v>#N/A</v>
      </c>
      <c r="P173" s="24" t="e">
        <f>_xlfn.XLOOKUP(E173,'DATA รถถึงเส้นรอง KKN'!C:C,'DATA รถถึงเส้นรอง KKN'!AZ:AZ)</f>
        <v>#N/A</v>
      </c>
      <c r="Q173" s="60"/>
      <c r="R173" s="27"/>
      <c r="S173" s="28"/>
      <c r="T173" s="59" t="e">
        <f t="shared" si="36"/>
        <v>#N/A</v>
      </c>
      <c r="V173" s="25" t="e">
        <f t="shared" si="39"/>
        <v>#N/A</v>
      </c>
      <c r="W173" s="25" t="e">
        <f t="shared" si="40"/>
        <v>#N/A</v>
      </c>
      <c r="X173" s="29" t="e">
        <f t="shared" si="41"/>
        <v>#N/A</v>
      </c>
    </row>
    <row r="174" spans="2:24" ht="20.25">
      <c r="B174" s="20">
        <v>170</v>
      </c>
      <c r="C174" s="58" t="e">
        <f>_xlfn.XLOOKUP(D:D,'DATA รถถึงเส้นรอง KKN'!A:A,'DATA รถถึงเส้นรอง KKN'!B:B)</f>
        <v>#N/A</v>
      </c>
      <c r="D174" s="32" t="e">
        <f>_xlfn.XLOOKUP(E174,'DATA รถถึงเส้นรอง KKN'!C:C,'DATA รถถึงเส้นรอง KKN'!A:A)</f>
        <v>#N/A</v>
      </c>
      <c r="E174" s="32" cm="1">
        <f t="array" ref="E174">INDEX('DATA รถถึงเส้นรอง KKN'!C:C,ROW()-3)</f>
        <v>0</v>
      </c>
      <c r="F174" s="22" t="e">
        <f>_xlfn.XLOOKUP(E174,'DATA รถถึงเส้นรอง KKN'!C:C,'DATA รถถึงเส้นรอง KKN'!O:O)</f>
        <v>#N/A</v>
      </c>
      <c r="G174" s="22" t="e">
        <f>_xlfn.XLOOKUP(E174,'DATA รถถึงเส้นรอง KKN'!C:C,'DATA รถถึงเส้นรอง KKN'!L:L)</f>
        <v>#N/A</v>
      </c>
      <c r="H174" s="22" t="e">
        <f>_xlfn.XLOOKUP(E174,#REF!,#REF!)</f>
        <v>#REF!</v>
      </c>
      <c r="I174" s="22" t="e">
        <f>_xlfn.XLOOKUP(E174,#REF!,#REF!)</f>
        <v>#REF!</v>
      </c>
      <c r="J174" s="23" t="e">
        <f>_xlfn.XLOOKUP(E174,'DATA รถถึงเส้นรอง KKN'!C:C,'DATA รถถึงเส้นรอง KKN'!AP:AP)</f>
        <v>#N/A</v>
      </c>
      <c r="K174" s="24" t="e">
        <f>_xlfn.XLOOKUP(E174,'DATA รถถึงเส้นรอง KKN'!C:C,'DATA รถถึงเส้นรอง KKN'!AV:AV)</f>
        <v>#N/A</v>
      </c>
      <c r="L174" s="25" t="e">
        <f t="shared" si="37"/>
        <v>#N/A</v>
      </c>
      <c r="M174" s="24" t="e">
        <f>_xlfn.XLOOKUP(E174,'DATA รถถึงเส้นรอง KKN'!C:C,'DATA รถถึงเส้นรอง KKN'!AW:AW)</f>
        <v>#N/A</v>
      </c>
      <c r="N174" s="24" t="e">
        <f>_xlfn.XLOOKUP(E174,'DATA รถถึงเส้นรอง KKN'!C:C,'DATA รถถึงเส้นรอง KKN'!AY:AY)</f>
        <v>#N/A</v>
      </c>
      <c r="O174" s="26" t="e">
        <f t="shared" si="38"/>
        <v>#N/A</v>
      </c>
      <c r="P174" s="24" t="e">
        <f>_xlfn.XLOOKUP(E174,'DATA รถถึงเส้นรอง KKN'!C:C,'DATA รถถึงเส้นรอง KKN'!AZ:AZ)</f>
        <v>#N/A</v>
      </c>
      <c r="Q174" s="60"/>
      <c r="R174" s="27"/>
      <c r="S174" s="28"/>
      <c r="T174" s="59" t="e">
        <f t="shared" si="36"/>
        <v>#N/A</v>
      </c>
      <c r="V174" s="25" t="e">
        <f t="shared" si="39"/>
        <v>#N/A</v>
      </c>
      <c r="W174" s="25" t="e">
        <f t="shared" si="40"/>
        <v>#N/A</v>
      </c>
      <c r="X174" s="29" t="e">
        <f t="shared" si="41"/>
        <v>#N/A</v>
      </c>
    </row>
    <row r="175" spans="2:24" ht="20.25">
      <c r="B175" s="20">
        <v>171</v>
      </c>
      <c r="C175" s="58" t="e">
        <f>_xlfn.XLOOKUP(D:D,'DATA รถถึงเส้นรอง KKN'!A:A,'DATA รถถึงเส้นรอง KKN'!B:B)</f>
        <v>#N/A</v>
      </c>
      <c r="D175" s="32" t="e">
        <f>_xlfn.XLOOKUP(E175,'DATA รถถึงเส้นรอง KKN'!C:C,'DATA รถถึงเส้นรอง KKN'!A:A)</f>
        <v>#N/A</v>
      </c>
      <c r="E175" s="32" cm="1">
        <f t="array" ref="E175">INDEX('DATA รถถึงเส้นรอง KKN'!C:C,ROW()-3)</f>
        <v>0</v>
      </c>
      <c r="F175" s="22" t="e">
        <f>_xlfn.XLOOKUP(E175,'DATA รถถึงเส้นรอง KKN'!C:C,'DATA รถถึงเส้นรอง KKN'!O:O)</f>
        <v>#N/A</v>
      </c>
      <c r="G175" s="22" t="e">
        <f>_xlfn.XLOOKUP(E175,'DATA รถถึงเส้นรอง KKN'!C:C,'DATA รถถึงเส้นรอง KKN'!L:L)</f>
        <v>#N/A</v>
      </c>
      <c r="H175" s="22" t="e">
        <f>_xlfn.XLOOKUP(E175,#REF!,#REF!)</f>
        <v>#REF!</v>
      </c>
      <c r="I175" s="22" t="e">
        <f>_xlfn.XLOOKUP(E175,#REF!,#REF!)</f>
        <v>#REF!</v>
      </c>
      <c r="J175" s="23" t="e">
        <f>_xlfn.XLOOKUP(E175,'DATA รถถึงเส้นรอง KKN'!C:C,'DATA รถถึงเส้นรอง KKN'!AP:AP)</f>
        <v>#N/A</v>
      </c>
      <c r="K175" s="24" t="e">
        <f>_xlfn.XLOOKUP(E175,'DATA รถถึงเส้นรอง KKN'!C:C,'DATA รถถึงเส้นรอง KKN'!AV:AV)</f>
        <v>#N/A</v>
      </c>
      <c r="L175" s="25" t="e">
        <f t="shared" si="37"/>
        <v>#N/A</v>
      </c>
      <c r="M175" s="24" t="e">
        <f>_xlfn.XLOOKUP(E175,'DATA รถถึงเส้นรอง KKN'!C:C,'DATA รถถึงเส้นรอง KKN'!AW:AW)</f>
        <v>#N/A</v>
      </c>
      <c r="N175" s="24" t="e">
        <f>_xlfn.XLOOKUP(E175,'DATA รถถึงเส้นรอง KKN'!C:C,'DATA รถถึงเส้นรอง KKN'!AY:AY)</f>
        <v>#N/A</v>
      </c>
      <c r="O175" s="26" t="e">
        <f t="shared" si="38"/>
        <v>#N/A</v>
      </c>
      <c r="P175" s="24" t="e">
        <f>_xlfn.XLOOKUP(E175,'DATA รถถึงเส้นรอง KKN'!C:C,'DATA รถถึงเส้นรอง KKN'!AZ:AZ)</f>
        <v>#N/A</v>
      </c>
      <c r="Q175" s="60"/>
      <c r="R175" s="27"/>
      <c r="S175" s="28"/>
      <c r="T175" s="59" t="e">
        <f t="shared" si="36"/>
        <v>#N/A</v>
      </c>
      <c r="V175" s="25" t="e">
        <f t="shared" si="39"/>
        <v>#N/A</v>
      </c>
      <c r="W175" s="25" t="e">
        <f t="shared" si="40"/>
        <v>#N/A</v>
      </c>
      <c r="X175" s="29" t="e">
        <f t="shared" si="41"/>
        <v>#N/A</v>
      </c>
    </row>
    <row r="176" spans="2:24" ht="20.25">
      <c r="B176" s="20">
        <v>172</v>
      </c>
      <c r="C176" s="58" t="e">
        <f>_xlfn.XLOOKUP(D:D,'DATA รถถึงเส้นรอง KKN'!A:A,'DATA รถถึงเส้นรอง KKN'!B:B)</f>
        <v>#N/A</v>
      </c>
      <c r="D176" s="32" t="e">
        <f>_xlfn.XLOOKUP(E176,'DATA รถถึงเส้นรอง KKN'!C:C,'DATA รถถึงเส้นรอง KKN'!A:A)</f>
        <v>#N/A</v>
      </c>
      <c r="E176" s="32" cm="1">
        <f t="array" ref="E176">INDEX('DATA รถถึงเส้นรอง KKN'!C:C,ROW()-3)</f>
        <v>0</v>
      </c>
      <c r="F176" s="22" t="e">
        <f>_xlfn.XLOOKUP(E176,'DATA รถถึงเส้นรอง KKN'!C:C,'DATA รถถึงเส้นรอง KKN'!O:O)</f>
        <v>#N/A</v>
      </c>
      <c r="G176" s="22" t="e">
        <f>_xlfn.XLOOKUP(E176,'DATA รถถึงเส้นรอง KKN'!C:C,'DATA รถถึงเส้นรอง KKN'!L:L)</f>
        <v>#N/A</v>
      </c>
      <c r="H176" s="22" t="e">
        <f>_xlfn.XLOOKUP(E176,#REF!,#REF!)</f>
        <v>#REF!</v>
      </c>
      <c r="I176" s="22" t="e">
        <f>_xlfn.XLOOKUP(E176,#REF!,#REF!)</f>
        <v>#REF!</v>
      </c>
      <c r="J176" s="23" t="e">
        <f>_xlfn.XLOOKUP(E176,'DATA รถถึงเส้นรอง KKN'!C:C,'DATA รถถึงเส้นรอง KKN'!AP:AP)</f>
        <v>#N/A</v>
      </c>
      <c r="K176" s="24" t="e">
        <f>_xlfn.XLOOKUP(E176,'DATA รถถึงเส้นรอง KKN'!C:C,'DATA รถถึงเส้นรอง KKN'!AV:AV)</f>
        <v>#N/A</v>
      </c>
      <c r="L176" s="25" t="e">
        <f t="shared" si="37"/>
        <v>#N/A</v>
      </c>
      <c r="M176" s="24" t="e">
        <f>_xlfn.XLOOKUP(E176,'DATA รถถึงเส้นรอง KKN'!C:C,'DATA รถถึงเส้นรอง KKN'!AW:AW)</f>
        <v>#N/A</v>
      </c>
      <c r="N176" s="24" t="e">
        <f>_xlfn.XLOOKUP(E176,'DATA รถถึงเส้นรอง KKN'!C:C,'DATA รถถึงเส้นรอง KKN'!AY:AY)</f>
        <v>#N/A</v>
      </c>
      <c r="O176" s="26" t="e">
        <f t="shared" si="38"/>
        <v>#N/A</v>
      </c>
      <c r="P176" s="24" t="e">
        <f>_xlfn.XLOOKUP(E176,'DATA รถถึงเส้นรอง KKN'!C:C,'DATA รถถึงเส้นรอง KKN'!AZ:AZ)</f>
        <v>#N/A</v>
      </c>
      <c r="Q176" s="60"/>
      <c r="R176" s="27"/>
      <c r="S176" s="28"/>
      <c r="T176" s="59" t="e">
        <f t="shared" si="36"/>
        <v>#N/A</v>
      </c>
      <c r="V176" s="25" t="e">
        <f t="shared" si="39"/>
        <v>#N/A</v>
      </c>
      <c r="W176" s="25" t="e">
        <f t="shared" si="40"/>
        <v>#N/A</v>
      </c>
      <c r="X176" s="29" t="e">
        <f t="shared" si="41"/>
        <v>#N/A</v>
      </c>
    </row>
    <row r="177" spans="2:24" ht="20.25">
      <c r="B177" s="20">
        <v>173</v>
      </c>
      <c r="C177" s="58" t="e">
        <f>_xlfn.XLOOKUP(D:D,'DATA รถถึงเส้นรอง KKN'!A:A,'DATA รถถึงเส้นรอง KKN'!B:B)</f>
        <v>#N/A</v>
      </c>
      <c r="D177" s="32" t="e">
        <f>_xlfn.XLOOKUP(E177,'DATA รถถึงเส้นรอง KKN'!C:C,'DATA รถถึงเส้นรอง KKN'!A:A)</f>
        <v>#N/A</v>
      </c>
      <c r="E177" s="32" cm="1">
        <f t="array" ref="E177">INDEX('DATA รถถึงเส้นรอง KKN'!C:C,ROW()-3)</f>
        <v>0</v>
      </c>
      <c r="F177" s="22" t="e">
        <f>_xlfn.XLOOKUP(E177,'DATA รถถึงเส้นรอง KKN'!C:C,'DATA รถถึงเส้นรอง KKN'!O:O)</f>
        <v>#N/A</v>
      </c>
      <c r="G177" s="22" t="e">
        <f>_xlfn.XLOOKUP(E177,'DATA รถถึงเส้นรอง KKN'!C:C,'DATA รถถึงเส้นรอง KKN'!L:L)</f>
        <v>#N/A</v>
      </c>
      <c r="H177" s="22" t="e">
        <f>_xlfn.XLOOKUP(E177,#REF!,#REF!)</f>
        <v>#REF!</v>
      </c>
      <c r="I177" s="22" t="e">
        <f>_xlfn.XLOOKUP(E177,#REF!,#REF!)</f>
        <v>#REF!</v>
      </c>
      <c r="J177" s="23" t="e">
        <f>_xlfn.XLOOKUP(E177,'DATA รถถึงเส้นรอง KKN'!C:C,'DATA รถถึงเส้นรอง KKN'!AP:AP)</f>
        <v>#N/A</v>
      </c>
      <c r="K177" s="24" t="e">
        <f>_xlfn.XLOOKUP(E177,'DATA รถถึงเส้นรอง KKN'!C:C,'DATA รถถึงเส้นรอง KKN'!AV:AV)</f>
        <v>#N/A</v>
      </c>
      <c r="L177" s="25" t="e">
        <f t="shared" si="37"/>
        <v>#N/A</v>
      </c>
      <c r="M177" s="24" t="e">
        <f>_xlfn.XLOOKUP(E177,'DATA รถถึงเส้นรอง KKN'!C:C,'DATA รถถึงเส้นรอง KKN'!AW:AW)</f>
        <v>#N/A</v>
      </c>
      <c r="N177" s="24" t="e">
        <f>_xlfn.XLOOKUP(E177,'DATA รถถึงเส้นรอง KKN'!C:C,'DATA รถถึงเส้นรอง KKN'!AY:AY)</f>
        <v>#N/A</v>
      </c>
      <c r="O177" s="26" t="e">
        <f t="shared" si="38"/>
        <v>#N/A</v>
      </c>
      <c r="P177" s="24" t="e">
        <f>_xlfn.XLOOKUP(E177,'DATA รถถึงเส้นรอง KKN'!C:C,'DATA รถถึงเส้นรอง KKN'!AZ:AZ)</f>
        <v>#N/A</v>
      </c>
      <c r="Q177" s="60"/>
      <c r="R177" s="27"/>
      <c r="S177" s="28"/>
      <c r="T177" s="59" t="e">
        <f t="shared" si="36"/>
        <v>#N/A</v>
      </c>
      <c r="V177" s="25" t="e">
        <f t="shared" si="39"/>
        <v>#N/A</v>
      </c>
      <c r="W177" s="25" t="e">
        <f t="shared" si="40"/>
        <v>#N/A</v>
      </c>
      <c r="X177" s="29" t="e">
        <f t="shared" si="41"/>
        <v>#N/A</v>
      </c>
    </row>
    <row r="178" spans="2:24" ht="20.25">
      <c r="B178" s="20">
        <v>174</v>
      </c>
      <c r="C178" s="58" t="e">
        <f>_xlfn.XLOOKUP(D:D,'DATA รถถึงเส้นรอง KKN'!A:A,'DATA รถถึงเส้นรอง KKN'!B:B)</f>
        <v>#N/A</v>
      </c>
      <c r="D178" s="32" t="e">
        <f>_xlfn.XLOOKUP(E178,'DATA รถถึงเส้นรอง KKN'!C:C,'DATA รถถึงเส้นรอง KKN'!A:A)</f>
        <v>#N/A</v>
      </c>
      <c r="E178" s="32" cm="1">
        <f t="array" ref="E178">INDEX('DATA รถถึงเส้นรอง KKN'!C:C,ROW()-3)</f>
        <v>0</v>
      </c>
      <c r="F178" s="22" t="e">
        <f>_xlfn.XLOOKUP(E178,'DATA รถถึงเส้นรอง KKN'!C:C,'DATA รถถึงเส้นรอง KKN'!O:O)</f>
        <v>#N/A</v>
      </c>
      <c r="G178" s="22" t="e">
        <f>_xlfn.XLOOKUP(E178,'DATA รถถึงเส้นรอง KKN'!C:C,'DATA รถถึงเส้นรอง KKN'!L:L)</f>
        <v>#N/A</v>
      </c>
      <c r="H178" s="22" t="e">
        <f>_xlfn.XLOOKUP(E178,#REF!,#REF!)</f>
        <v>#REF!</v>
      </c>
      <c r="I178" s="22" t="e">
        <f>_xlfn.XLOOKUP(E178,#REF!,#REF!)</f>
        <v>#REF!</v>
      </c>
      <c r="J178" s="23" t="e">
        <f>_xlfn.XLOOKUP(E178,'DATA รถถึงเส้นรอง KKN'!C:C,'DATA รถถึงเส้นรอง KKN'!AP:AP)</f>
        <v>#N/A</v>
      </c>
      <c r="K178" s="24" t="e">
        <f>_xlfn.XLOOKUP(E178,'DATA รถถึงเส้นรอง KKN'!C:C,'DATA รถถึงเส้นรอง KKN'!AV:AV)</f>
        <v>#N/A</v>
      </c>
      <c r="L178" s="25" t="e">
        <f t="shared" si="37"/>
        <v>#N/A</v>
      </c>
      <c r="M178" s="24" t="e">
        <f>_xlfn.XLOOKUP(E178,'DATA รถถึงเส้นรอง KKN'!C:C,'DATA รถถึงเส้นรอง KKN'!AW:AW)</f>
        <v>#N/A</v>
      </c>
      <c r="N178" s="24" t="e">
        <f>_xlfn.XLOOKUP(E178,'DATA รถถึงเส้นรอง KKN'!C:C,'DATA รถถึงเส้นรอง KKN'!AY:AY)</f>
        <v>#N/A</v>
      </c>
      <c r="O178" s="26" t="e">
        <f t="shared" si="38"/>
        <v>#N/A</v>
      </c>
      <c r="P178" s="24" t="e">
        <f>_xlfn.XLOOKUP(E178,'DATA รถถึงเส้นรอง KKN'!C:C,'DATA รถถึงเส้นรอง KKN'!AZ:AZ)</f>
        <v>#N/A</v>
      </c>
      <c r="Q178" s="60"/>
      <c r="R178" s="27"/>
      <c r="S178" s="28"/>
      <c r="T178" s="59" t="e">
        <f t="shared" si="36"/>
        <v>#N/A</v>
      </c>
      <c r="V178" s="25" t="e">
        <f t="shared" si="39"/>
        <v>#N/A</v>
      </c>
      <c r="W178" s="25" t="e">
        <f t="shared" si="40"/>
        <v>#N/A</v>
      </c>
      <c r="X178" s="29" t="e">
        <f t="shared" si="41"/>
        <v>#N/A</v>
      </c>
    </row>
    <row r="179" spans="2:24" ht="20.25">
      <c r="B179" s="20">
        <v>175</v>
      </c>
      <c r="C179" s="58" t="e">
        <f>_xlfn.XLOOKUP(D:D,'DATA รถถึงเส้นรอง KKN'!A:A,'DATA รถถึงเส้นรอง KKN'!B:B)</f>
        <v>#N/A</v>
      </c>
      <c r="D179" s="32" t="e">
        <f>_xlfn.XLOOKUP(E179,'DATA รถถึงเส้นรอง KKN'!C:C,'DATA รถถึงเส้นรอง KKN'!A:A)</f>
        <v>#N/A</v>
      </c>
      <c r="E179" s="32" cm="1">
        <f t="array" ref="E179">INDEX('DATA รถถึงเส้นรอง KKN'!C:C,ROW()-3)</f>
        <v>0</v>
      </c>
      <c r="F179" s="22" t="e">
        <f>_xlfn.XLOOKUP(E179,'DATA รถถึงเส้นรอง KKN'!C:C,'DATA รถถึงเส้นรอง KKN'!O:O)</f>
        <v>#N/A</v>
      </c>
      <c r="G179" s="22" t="e">
        <f>_xlfn.XLOOKUP(E179,'DATA รถถึงเส้นรอง KKN'!C:C,'DATA รถถึงเส้นรอง KKN'!L:L)</f>
        <v>#N/A</v>
      </c>
      <c r="H179" s="22" t="e">
        <f>_xlfn.XLOOKUP(E179,#REF!,#REF!)</f>
        <v>#REF!</v>
      </c>
      <c r="I179" s="22" t="e">
        <f>_xlfn.XLOOKUP(E179,#REF!,#REF!)</f>
        <v>#REF!</v>
      </c>
      <c r="J179" s="23" t="e">
        <f>_xlfn.XLOOKUP(E179,'DATA รถถึงเส้นรอง KKN'!C:C,'DATA รถถึงเส้นรอง KKN'!AP:AP)</f>
        <v>#N/A</v>
      </c>
      <c r="K179" s="24" t="e">
        <f>_xlfn.XLOOKUP(E179,'DATA รถถึงเส้นรอง KKN'!C:C,'DATA รถถึงเส้นรอง KKN'!AV:AV)</f>
        <v>#N/A</v>
      </c>
      <c r="L179" s="25" t="e">
        <f t="shared" si="37"/>
        <v>#N/A</v>
      </c>
      <c r="M179" s="24" t="e">
        <f>_xlfn.XLOOKUP(E179,'DATA รถถึงเส้นรอง KKN'!C:C,'DATA รถถึงเส้นรอง KKN'!AW:AW)</f>
        <v>#N/A</v>
      </c>
      <c r="N179" s="24" t="e">
        <f>_xlfn.XLOOKUP(E179,'DATA รถถึงเส้นรอง KKN'!C:C,'DATA รถถึงเส้นรอง KKN'!AY:AY)</f>
        <v>#N/A</v>
      </c>
      <c r="O179" s="26" t="e">
        <f t="shared" si="38"/>
        <v>#N/A</v>
      </c>
      <c r="P179" s="24" t="e">
        <f>_xlfn.XLOOKUP(E179,'DATA รถถึงเส้นรอง KKN'!C:C,'DATA รถถึงเส้นรอง KKN'!AZ:AZ)</f>
        <v>#N/A</v>
      </c>
      <c r="Q179" s="60"/>
      <c r="R179" s="27"/>
      <c r="S179" s="28"/>
      <c r="T179" s="59" t="e">
        <f t="shared" si="36"/>
        <v>#N/A</v>
      </c>
      <c r="V179" s="25" t="e">
        <f t="shared" si="39"/>
        <v>#N/A</v>
      </c>
      <c r="W179" s="25" t="e">
        <f t="shared" si="40"/>
        <v>#N/A</v>
      </c>
      <c r="X179" s="29" t="e">
        <f t="shared" si="41"/>
        <v>#N/A</v>
      </c>
    </row>
    <row r="180" spans="2:24" ht="75" hidden="1" customHeight="1">
      <c r="B180" s="64" t="s">
        <v>36</v>
      </c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7"/>
      <c r="R180" s="6"/>
      <c r="S180" s="6"/>
      <c r="T180" s="6"/>
    </row>
    <row r="181" spans="2:24" ht="22.5" hidden="1">
      <c r="B181" s="7" t="s">
        <v>2</v>
      </c>
      <c r="C181" s="7" t="s">
        <v>3</v>
      </c>
      <c r="D181" s="8" t="s">
        <v>4</v>
      </c>
      <c r="E181" s="9" t="s">
        <v>5</v>
      </c>
      <c r="F181" s="7" t="s">
        <v>6</v>
      </c>
      <c r="G181" s="7" t="s">
        <v>7</v>
      </c>
      <c r="H181" s="9" t="s">
        <v>8</v>
      </c>
      <c r="I181" s="8" t="s">
        <v>9</v>
      </c>
      <c r="J181" s="78" t="s">
        <v>37</v>
      </c>
      <c r="K181" s="80" t="s">
        <v>11</v>
      </c>
      <c r="L181" s="82" t="s">
        <v>12</v>
      </c>
      <c r="M181" s="10" t="s">
        <v>13</v>
      </c>
      <c r="N181" s="33" t="s">
        <v>14</v>
      </c>
      <c r="O181" s="68" t="s">
        <v>15</v>
      </c>
      <c r="P181" s="34" t="s">
        <v>16</v>
      </c>
      <c r="Q181" s="10" t="s">
        <v>17</v>
      </c>
      <c r="R181" s="8" t="s">
        <v>18</v>
      </c>
      <c r="S181" s="8"/>
      <c r="T181" s="61" t="s">
        <v>38</v>
      </c>
    </row>
    <row r="182" spans="2:24" ht="20.25" hidden="1">
      <c r="B182" s="12" t="s">
        <v>20</v>
      </c>
      <c r="C182" s="13" t="s">
        <v>21</v>
      </c>
      <c r="D182" s="14" t="s">
        <v>22</v>
      </c>
      <c r="E182" s="15" t="s">
        <v>23</v>
      </c>
      <c r="F182" s="13" t="s">
        <v>24</v>
      </c>
      <c r="G182" s="12" t="s">
        <v>25</v>
      </c>
      <c r="H182" s="15" t="s">
        <v>26</v>
      </c>
      <c r="I182" s="14" t="s">
        <v>27</v>
      </c>
      <c r="J182" s="79"/>
      <c r="K182" s="81"/>
      <c r="L182" s="83"/>
      <c r="M182" s="17" t="s">
        <v>29</v>
      </c>
      <c r="N182" s="35" t="s">
        <v>30</v>
      </c>
      <c r="O182" s="69"/>
      <c r="P182" s="36" t="s">
        <v>31</v>
      </c>
      <c r="Q182" s="19" t="s">
        <v>32</v>
      </c>
      <c r="R182" s="14" t="s">
        <v>33</v>
      </c>
      <c r="S182" s="14"/>
      <c r="T182" s="62"/>
    </row>
    <row r="183" spans="2:24" s="3" customFormat="1" ht="23.25" hidden="1" customHeight="1">
      <c r="B183" s="31">
        <v>1</v>
      </c>
      <c r="C183" s="37" t="e">
        <f>_xlfn.XLOOKUP(D:D,#REF!,#REF!)</f>
        <v>#REF!</v>
      </c>
      <c r="D183" s="32"/>
      <c r="E183" s="32"/>
      <c r="F183" s="38" t="e">
        <f>_xlfn.XLOOKUP(E183,#REF!,#REF!)</f>
        <v>#REF!</v>
      </c>
      <c r="G183" s="22" t="e">
        <f>_xlfn.XLOOKUP(E183,#REF!,#REF!)</f>
        <v>#REF!</v>
      </c>
      <c r="H183" s="22" t="e">
        <f>_xlfn.XLOOKUP(E183,#REF!,#REF!)</f>
        <v>#REF!</v>
      </c>
      <c r="I183" s="22" t="e">
        <f>_xlfn.XLOOKUP(E183,#REF!,#REF!)</f>
        <v>#REF!</v>
      </c>
      <c r="J183" s="24" t="e">
        <f>_xlfn.XLOOKUP(E183,#REF!,#REF!)</f>
        <v>#REF!</v>
      </c>
      <c r="K183" s="24" t="e">
        <f>_xlfn.XLOOKUP(E183,#REF!,#REF!)</f>
        <v>#REF!</v>
      </c>
      <c r="L183" s="25" t="e">
        <f>M183+TIME(2,0,0)</f>
        <v>#REF!</v>
      </c>
      <c r="M183" s="24" t="e">
        <f>_xlfn.XLOOKUP(E183,#REF!,#REF!)</f>
        <v>#REF!</v>
      </c>
      <c r="N183" s="24" t="e">
        <f>_xlfn.XLOOKUP(E183,#REF!,#REF!)</f>
        <v>#REF!</v>
      </c>
      <c r="O183" s="26" t="e">
        <f>IF(OR(N183=0,L183=0,N183="",L183=""),"ข้อมูลไม่ครบ",IF(TEXT(N183,"hh:mm:ss")&gt;TEXT(L183,"hh:mm:ss"),"เกินเวลาลงพัสดุ","อยู่ในเวลาที่ควรลง"))</f>
        <v>#REF!</v>
      </c>
      <c r="P183" s="24" t="e">
        <f>_xlfn.XLOOKUP(E183,#REF!,#REF!)</f>
        <v>#REF!</v>
      </c>
      <c r="Q183" s="27"/>
      <c r="R183" s="27"/>
      <c r="S183" s="28"/>
      <c r="T183" s="24" t="e">
        <f>_xlfn.XLOOKUP(E183,#REF!,#REF!)</f>
        <v>#REF!</v>
      </c>
      <c r="V183" s="25" t="e">
        <f>RIGHT(P183,8)</f>
        <v>#REF!</v>
      </c>
      <c r="W183" s="25" t="e">
        <f>RIGHT(N183,8)</f>
        <v>#REF!</v>
      </c>
      <c r="X183" s="29" t="e">
        <f>MOD(V183-W183,1)</f>
        <v>#REF!</v>
      </c>
    </row>
    <row r="184" spans="2:24" s="3" customFormat="1" ht="23.25" hidden="1" customHeight="1">
      <c r="B184" s="31">
        <v>2</v>
      </c>
      <c r="C184" s="39" t="e">
        <f>_xlfn.XLOOKUP(D:D,#REF!,#REF!)</f>
        <v>#REF!</v>
      </c>
      <c r="D184" s="32"/>
      <c r="E184" s="32"/>
      <c r="F184" s="38" t="e">
        <f>_xlfn.XLOOKUP(E184,#REF!,#REF!)</f>
        <v>#REF!</v>
      </c>
      <c r="G184" s="22" t="e">
        <f>_xlfn.XLOOKUP(E184,#REF!,#REF!)</f>
        <v>#REF!</v>
      </c>
      <c r="H184" s="22" t="e">
        <f>_xlfn.XLOOKUP(E184,#REF!,#REF!)</f>
        <v>#REF!</v>
      </c>
      <c r="I184" s="22" t="e">
        <f>_xlfn.XLOOKUP(E184,#REF!,#REF!)</f>
        <v>#REF!</v>
      </c>
      <c r="J184" s="23" t="e">
        <f>_xlfn.XLOOKUP(E184,#REF!,#REF!)</f>
        <v>#REF!</v>
      </c>
      <c r="K184" s="24" t="e">
        <f>_xlfn.XLOOKUP(E184,#REF!,#REF!)</f>
        <v>#REF!</v>
      </c>
      <c r="L184" s="25" t="e">
        <f t="shared" ref="L184:L191" si="42">M184+TIME(2,0,0)</f>
        <v>#REF!</v>
      </c>
      <c r="M184" s="24" t="e">
        <f>_xlfn.XLOOKUP(E184,#REF!,#REF!)</f>
        <v>#REF!</v>
      </c>
      <c r="N184" s="24" t="e">
        <f>_xlfn.XLOOKUP(E184,#REF!,#REF!)</f>
        <v>#REF!</v>
      </c>
      <c r="O184" s="26" t="e">
        <f t="shared" ref="O184:O191" si="43">IF(OR(N184=0,L184=0,N184="",L184=""),"ข้อมูลไม่ครบ",IF(TEXT(N184,"hh:mm:ss")&gt;TEXT(L184,"hh:mm:ss"),"เกินเวลาลงพัสดุ","อยู่ในเวลาที่ควรลง"))</f>
        <v>#REF!</v>
      </c>
      <c r="P184" s="24" t="e">
        <f>_xlfn.XLOOKUP(E184,#REF!,#REF!)</f>
        <v>#REF!</v>
      </c>
      <c r="Q184" s="27"/>
      <c r="R184" s="27"/>
      <c r="S184" s="28"/>
      <c r="T184" s="24" t="e">
        <f>_xlfn.XLOOKUP(E184,#REF!,#REF!)</f>
        <v>#REF!</v>
      </c>
      <c r="V184" s="25" t="e">
        <f t="shared" ref="V184:V200" si="44">RIGHT(P184,8)</f>
        <v>#REF!</v>
      </c>
      <c r="W184" s="25" t="e">
        <f t="shared" ref="W184:W200" si="45">RIGHT(N184,8)</f>
        <v>#REF!</v>
      </c>
      <c r="X184" s="29" t="e">
        <f t="shared" ref="X184:X200" si="46">MOD(V184-W184,1)</f>
        <v>#REF!</v>
      </c>
    </row>
    <row r="185" spans="2:24" s="3" customFormat="1" ht="20.25" hidden="1">
      <c r="B185" s="31">
        <v>3</v>
      </c>
      <c r="C185" s="39" t="e">
        <f>_xlfn.XLOOKUP(D:D,#REF!,#REF!)</f>
        <v>#REF!</v>
      </c>
      <c r="D185" s="32"/>
      <c r="E185" s="32"/>
      <c r="F185" s="38" t="e">
        <f>_xlfn.XLOOKUP(E185,#REF!,#REF!)</f>
        <v>#REF!</v>
      </c>
      <c r="G185" s="22" t="e">
        <f>_xlfn.XLOOKUP(E185,#REF!,#REF!)</f>
        <v>#REF!</v>
      </c>
      <c r="H185" s="22" t="e">
        <f>_xlfn.XLOOKUP(E185,#REF!,#REF!)</f>
        <v>#REF!</v>
      </c>
      <c r="I185" s="22" t="e">
        <f>_xlfn.XLOOKUP(E185,#REF!,#REF!)</f>
        <v>#REF!</v>
      </c>
      <c r="J185" s="23" t="e">
        <f>_xlfn.XLOOKUP(E185,#REF!,#REF!)</f>
        <v>#REF!</v>
      </c>
      <c r="K185" s="24" t="e">
        <f>_xlfn.XLOOKUP(E185,#REF!,#REF!)</f>
        <v>#REF!</v>
      </c>
      <c r="L185" s="25" t="e">
        <f t="shared" si="42"/>
        <v>#REF!</v>
      </c>
      <c r="M185" s="24" t="e">
        <f>_xlfn.XLOOKUP(E185,#REF!,#REF!)</f>
        <v>#REF!</v>
      </c>
      <c r="N185" s="24" t="e">
        <f>_xlfn.XLOOKUP(E185,#REF!,#REF!)</f>
        <v>#REF!</v>
      </c>
      <c r="O185" s="26" t="e">
        <f t="shared" si="43"/>
        <v>#REF!</v>
      </c>
      <c r="P185" s="24" t="e">
        <f>_xlfn.XLOOKUP(E185,#REF!,#REF!)</f>
        <v>#REF!</v>
      </c>
      <c r="Q185" s="27"/>
      <c r="R185" s="27"/>
      <c r="S185" s="28"/>
      <c r="T185" s="24" t="e">
        <f>_xlfn.XLOOKUP(E185,#REF!,#REF!)</f>
        <v>#REF!</v>
      </c>
      <c r="V185" s="25" t="e">
        <f t="shared" si="44"/>
        <v>#REF!</v>
      </c>
      <c r="W185" s="25" t="e">
        <f t="shared" si="45"/>
        <v>#REF!</v>
      </c>
      <c r="X185" s="29" t="e">
        <f t="shared" si="46"/>
        <v>#REF!</v>
      </c>
    </row>
    <row r="186" spans="2:24" s="3" customFormat="1" ht="20.25" hidden="1">
      <c r="B186" s="31">
        <v>4</v>
      </c>
      <c r="C186" s="39" t="e">
        <f>_xlfn.XLOOKUP(D:D,#REF!,#REF!)</f>
        <v>#REF!</v>
      </c>
      <c r="D186" s="32"/>
      <c r="E186" s="32"/>
      <c r="F186" s="38" t="e">
        <f>_xlfn.XLOOKUP(E186,#REF!,#REF!)</f>
        <v>#REF!</v>
      </c>
      <c r="G186" s="22" t="e">
        <f>_xlfn.XLOOKUP(E186,#REF!,#REF!)</f>
        <v>#REF!</v>
      </c>
      <c r="H186" s="22" t="e">
        <f>_xlfn.XLOOKUP(E186,#REF!,#REF!)</f>
        <v>#REF!</v>
      </c>
      <c r="I186" s="22" t="e">
        <f>_xlfn.XLOOKUP(E186,#REF!,#REF!)</f>
        <v>#REF!</v>
      </c>
      <c r="J186" s="23" t="e">
        <f>_xlfn.XLOOKUP(E186,#REF!,#REF!)</f>
        <v>#REF!</v>
      </c>
      <c r="K186" s="24" t="e">
        <f>_xlfn.XLOOKUP(E186,#REF!,#REF!)</f>
        <v>#REF!</v>
      </c>
      <c r="L186" s="25" t="e">
        <f t="shared" si="42"/>
        <v>#REF!</v>
      </c>
      <c r="M186" s="24" t="e">
        <f>_xlfn.XLOOKUP(E186,#REF!,#REF!)</f>
        <v>#REF!</v>
      </c>
      <c r="N186" s="24" t="e">
        <f>_xlfn.XLOOKUP(E186,#REF!,#REF!)</f>
        <v>#REF!</v>
      </c>
      <c r="O186" s="26" t="e">
        <f t="shared" si="43"/>
        <v>#REF!</v>
      </c>
      <c r="P186" s="24" t="e">
        <f>_xlfn.XLOOKUP(E186,#REF!,#REF!)</f>
        <v>#REF!</v>
      </c>
      <c r="Q186" s="27"/>
      <c r="R186" s="27"/>
      <c r="S186" s="28"/>
      <c r="T186" s="24" t="e">
        <f>_xlfn.XLOOKUP(E186,#REF!,#REF!)</f>
        <v>#REF!</v>
      </c>
      <c r="V186" s="25" t="e">
        <f t="shared" si="44"/>
        <v>#REF!</v>
      </c>
      <c r="W186" s="25" t="e">
        <f t="shared" si="45"/>
        <v>#REF!</v>
      </c>
      <c r="X186" s="29" t="e">
        <f t="shared" si="46"/>
        <v>#REF!</v>
      </c>
    </row>
    <row r="187" spans="2:24" s="3" customFormat="1" ht="20.25" hidden="1">
      <c r="B187" s="31">
        <v>5</v>
      </c>
      <c r="C187" s="39" t="e">
        <f>_xlfn.XLOOKUP(D:D,#REF!,#REF!)</f>
        <v>#REF!</v>
      </c>
      <c r="D187" s="32"/>
      <c r="E187" s="32"/>
      <c r="F187" s="38" t="e">
        <f>_xlfn.XLOOKUP(E187,#REF!,#REF!)</f>
        <v>#REF!</v>
      </c>
      <c r="G187" s="22" t="e">
        <f>_xlfn.XLOOKUP(E187,#REF!,#REF!)</f>
        <v>#REF!</v>
      </c>
      <c r="H187" s="22" t="e">
        <f>_xlfn.XLOOKUP(E187,#REF!,#REF!)</f>
        <v>#REF!</v>
      </c>
      <c r="I187" s="22" t="e">
        <f>_xlfn.XLOOKUP(E187,#REF!,#REF!)</f>
        <v>#REF!</v>
      </c>
      <c r="J187" s="23" t="e">
        <f>_xlfn.XLOOKUP(E187,#REF!,#REF!)</f>
        <v>#REF!</v>
      </c>
      <c r="K187" s="24" t="e">
        <f>_xlfn.XLOOKUP(E187,#REF!,#REF!)</f>
        <v>#REF!</v>
      </c>
      <c r="L187" s="25" t="e">
        <f t="shared" si="42"/>
        <v>#REF!</v>
      </c>
      <c r="M187" s="24" t="e">
        <f>_xlfn.XLOOKUP(E187,#REF!,#REF!)</f>
        <v>#REF!</v>
      </c>
      <c r="N187" s="24" t="e">
        <f>_xlfn.XLOOKUP(E187,#REF!,#REF!)</f>
        <v>#REF!</v>
      </c>
      <c r="O187" s="26" t="e">
        <f t="shared" si="43"/>
        <v>#REF!</v>
      </c>
      <c r="P187" s="24" t="e">
        <f>_xlfn.XLOOKUP(E187,#REF!,#REF!)</f>
        <v>#REF!</v>
      </c>
      <c r="Q187" s="27"/>
      <c r="R187" s="27"/>
      <c r="S187" s="28"/>
      <c r="T187" s="24" t="e">
        <f>_xlfn.XLOOKUP(E187,#REF!,#REF!)</f>
        <v>#REF!</v>
      </c>
      <c r="V187" s="25" t="e">
        <f t="shared" si="44"/>
        <v>#REF!</v>
      </c>
      <c r="W187" s="25" t="e">
        <f t="shared" si="45"/>
        <v>#REF!</v>
      </c>
      <c r="X187" s="29" t="e">
        <f t="shared" si="46"/>
        <v>#REF!</v>
      </c>
    </row>
    <row r="188" spans="2:24" ht="20.25" hidden="1">
      <c r="B188" s="31">
        <v>6</v>
      </c>
      <c r="C188" s="39" t="e">
        <f>_xlfn.XLOOKUP(D:D,#REF!,#REF!)</f>
        <v>#REF!</v>
      </c>
      <c r="D188" s="32"/>
      <c r="E188" s="32"/>
      <c r="F188" s="38" t="e">
        <f>_xlfn.XLOOKUP(E188,#REF!,#REF!)</f>
        <v>#REF!</v>
      </c>
      <c r="G188" s="22" t="e">
        <f>_xlfn.XLOOKUP(E188,#REF!,#REF!)</f>
        <v>#REF!</v>
      </c>
      <c r="H188" s="22" t="e">
        <f>_xlfn.XLOOKUP(E188,#REF!,#REF!)</f>
        <v>#REF!</v>
      </c>
      <c r="I188" s="22" t="e">
        <f>_xlfn.XLOOKUP(E188,#REF!,#REF!)</f>
        <v>#REF!</v>
      </c>
      <c r="J188" s="23" t="e">
        <f>_xlfn.XLOOKUP(E188,#REF!,#REF!)</f>
        <v>#REF!</v>
      </c>
      <c r="K188" s="24" t="e">
        <f>_xlfn.XLOOKUP(E188,#REF!,#REF!)</f>
        <v>#REF!</v>
      </c>
      <c r="L188" s="25" t="e">
        <f t="shared" si="42"/>
        <v>#REF!</v>
      </c>
      <c r="M188" s="24" t="e">
        <f>_xlfn.XLOOKUP(E188,#REF!,#REF!)</f>
        <v>#REF!</v>
      </c>
      <c r="N188" s="24" t="e">
        <f>_xlfn.XLOOKUP(E188,#REF!,#REF!)</f>
        <v>#REF!</v>
      </c>
      <c r="O188" s="26" t="e">
        <f t="shared" si="43"/>
        <v>#REF!</v>
      </c>
      <c r="P188" s="24" t="e">
        <f>_xlfn.XLOOKUP(E188,#REF!,#REF!)</f>
        <v>#REF!</v>
      </c>
      <c r="Q188" s="27"/>
      <c r="R188" s="27"/>
      <c r="S188" s="28"/>
      <c r="T188" s="24" t="e">
        <f>_xlfn.XLOOKUP(E188,#REF!,#REF!)</f>
        <v>#REF!</v>
      </c>
      <c r="V188" s="25" t="e">
        <f t="shared" si="44"/>
        <v>#REF!</v>
      </c>
      <c r="W188" s="25" t="e">
        <f t="shared" si="45"/>
        <v>#REF!</v>
      </c>
      <c r="X188" s="29" t="e">
        <f t="shared" si="46"/>
        <v>#REF!</v>
      </c>
    </row>
    <row r="189" spans="2:24" ht="20.25" hidden="1">
      <c r="B189" s="31">
        <v>7</v>
      </c>
      <c r="C189" s="39" t="e">
        <f>_xlfn.XLOOKUP(D:D,#REF!,#REF!)</f>
        <v>#REF!</v>
      </c>
      <c r="D189" s="32"/>
      <c r="E189" s="32"/>
      <c r="F189" s="38" t="e">
        <f>_xlfn.XLOOKUP(E189,#REF!,#REF!)</f>
        <v>#REF!</v>
      </c>
      <c r="G189" s="22" t="e">
        <f>_xlfn.XLOOKUP(E189,#REF!,#REF!)</f>
        <v>#REF!</v>
      </c>
      <c r="H189" s="22" t="e">
        <f>_xlfn.XLOOKUP(E189,#REF!,#REF!)</f>
        <v>#REF!</v>
      </c>
      <c r="I189" s="22" t="e">
        <f>_xlfn.XLOOKUP(E189,#REF!,#REF!)</f>
        <v>#REF!</v>
      </c>
      <c r="J189" s="23" t="e">
        <f>_xlfn.XLOOKUP(E189,#REF!,#REF!)</f>
        <v>#REF!</v>
      </c>
      <c r="K189" s="24" t="e">
        <f>_xlfn.XLOOKUP(E189,#REF!,#REF!)</f>
        <v>#REF!</v>
      </c>
      <c r="L189" s="25" t="e">
        <f t="shared" si="42"/>
        <v>#REF!</v>
      </c>
      <c r="M189" s="24" t="e">
        <f>_xlfn.XLOOKUP(E189,#REF!,#REF!)</f>
        <v>#REF!</v>
      </c>
      <c r="N189" s="24" t="e">
        <f>_xlfn.XLOOKUP(E189,#REF!,#REF!)</f>
        <v>#REF!</v>
      </c>
      <c r="O189" s="26" t="e">
        <f t="shared" si="43"/>
        <v>#REF!</v>
      </c>
      <c r="P189" s="24" t="e">
        <f>_xlfn.XLOOKUP(E189,#REF!,#REF!)</f>
        <v>#REF!</v>
      </c>
      <c r="Q189" s="27"/>
      <c r="R189" s="27"/>
      <c r="S189" s="28"/>
      <c r="T189" s="24" t="e">
        <f>_xlfn.XLOOKUP(E189,#REF!,#REF!)</f>
        <v>#REF!</v>
      </c>
      <c r="V189" s="25" t="e">
        <f t="shared" si="44"/>
        <v>#REF!</v>
      </c>
      <c r="W189" s="25" t="e">
        <f t="shared" si="45"/>
        <v>#REF!</v>
      </c>
      <c r="X189" s="29" t="e">
        <f t="shared" si="46"/>
        <v>#REF!</v>
      </c>
    </row>
    <row r="190" spans="2:24" ht="20.25" hidden="1">
      <c r="B190" s="31">
        <v>8</v>
      </c>
      <c r="C190" s="39" t="e">
        <f>_xlfn.XLOOKUP(D:D,#REF!,#REF!)</f>
        <v>#REF!</v>
      </c>
      <c r="D190" s="32"/>
      <c r="E190" s="32"/>
      <c r="F190" s="38" t="e">
        <f>_xlfn.XLOOKUP(E190,#REF!,#REF!)</f>
        <v>#REF!</v>
      </c>
      <c r="G190" s="22" t="e">
        <f>_xlfn.XLOOKUP(E190,#REF!,#REF!)</f>
        <v>#REF!</v>
      </c>
      <c r="H190" s="22" t="e">
        <f>_xlfn.XLOOKUP(E190,#REF!,#REF!)</f>
        <v>#REF!</v>
      </c>
      <c r="I190" s="22" t="e">
        <f>_xlfn.XLOOKUP(E190,#REF!,#REF!)</f>
        <v>#REF!</v>
      </c>
      <c r="J190" s="23" t="e">
        <f>_xlfn.XLOOKUP(E190,#REF!,#REF!)</f>
        <v>#REF!</v>
      </c>
      <c r="K190" s="24" t="e">
        <f>_xlfn.XLOOKUP(E190,#REF!,#REF!)</f>
        <v>#REF!</v>
      </c>
      <c r="L190" s="25" t="e">
        <f t="shared" si="42"/>
        <v>#REF!</v>
      </c>
      <c r="M190" s="24" t="e">
        <f>_xlfn.XLOOKUP(E190,#REF!,#REF!)</f>
        <v>#REF!</v>
      </c>
      <c r="N190" s="24" t="e">
        <f>_xlfn.XLOOKUP(E190,#REF!,#REF!)</f>
        <v>#REF!</v>
      </c>
      <c r="O190" s="26" t="e">
        <f t="shared" si="43"/>
        <v>#REF!</v>
      </c>
      <c r="P190" s="24" t="e">
        <f>_xlfn.XLOOKUP(E190,#REF!,#REF!)</f>
        <v>#REF!</v>
      </c>
      <c r="Q190" s="27"/>
      <c r="R190" s="27"/>
      <c r="S190" s="28"/>
      <c r="T190" s="24" t="e">
        <f>_xlfn.XLOOKUP(E190,#REF!,#REF!)</f>
        <v>#REF!</v>
      </c>
      <c r="V190" s="25" t="e">
        <f t="shared" si="44"/>
        <v>#REF!</v>
      </c>
      <c r="W190" s="25" t="e">
        <f t="shared" si="45"/>
        <v>#REF!</v>
      </c>
      <c r="X190" s="29" t="e">
        <f t="shared" si="46"/>
        <v>#REF!</v>
      </c>
    </row>
    <row r="191" spans="2:24" ht="20.25" hidden="1">
      <c r="B191" s="31">
        <v>9</v>
      </c>
      <c r="C191" s="39" t="e">
        <f>_xlfn.XLOOKUP(D:D,#REF!,#REF!)</f>
        <v>#REF!</v>
      </c>
      <c r="D191" s="32"/>
      <c r="E191" s="32"/>
      <c r="F191" s="38" t="e">
        <f>_xlfn.XLOOKUP(E191,#REF!,#REF!)</f>
        <v>#REF!</v>
      </c>
      <c r="G191" s="22" t="e">
        <f>_xlfn.XLOOKUP(E191,#REF!,#REF!)</f>
        <v>#REF!</v>
      </c>
      <c r="H191" s="22" t="e">
        <f>_xlfn.XLOOKUP(E191,#REF!,#REF!)</f>
        <v>#REF!</v>
      </c>
      <c r="I191" s="22" t="e">
        <f>_xlfn.XLOOKUP(E191,#REF!,#REF!)</f>
        <v>#REF!</v>
      </c>
      <c r="J191" s="23" t="e">
        <f>_xlfn.XLOOKUP(E191,#REF!,#REF!)</f>
        <v>#REF!</v>
      </c>
      <c r="K191" s="24" t="e">
        <f>_xlfn.XLOOKUP(E191,#REF!,#REF!)</f>
        <v>#REF!</v>
      </c>
      <c r="L191" s="25" t="e">
        <f t="shared" si="42"/>
        <v>#REF!</v>
      </c>
      <c r="M191" s="24" t="e">
        <f>_xlfn.XLOOKUP(E191,#REF!,#REF!)</f>
        <v>#REF!</v>
      </c>
      <c r="N191" s="24" t="e">
        <f>_xlfn.XLOOKUP(E191,#REF!,#REF!)</f>
        <v>#REF!</v>
      </c>
      <c r="O191" s="26" t="e">
        <f t="shared" si="43"/>
        <v>#REF!</v>
      </c>
      <c r="P191" s="24" t="e">
        <f>_xlfn.XLOOKUP(E191,#REF!,#REF!)</f>
        <v>#REF!</v>
      </c>
      <c r="Q191" s="27"/>
      <c r="R191" s="27"/>
      <c r="S191" s="28"/>
      <c r="T191" s="24" t="e">
        <f>_xlfn.XLOOKUP(E191,#REF!,#REF!)</f>
        <v>#REF!</v>
      </c>
      <c r="V191" s="25" t="e">
        <f t="shared" si="44"/>
        <v>#REF!</v>
      </c>
      <c r="W191" s="25" t="e">
        <f t="shared" si="45"/>
        <v>#REF!</v>
      </c>
      <c r="X191" s="29" t="e">
        <f t="shared" si="46"/>
        <v>#REF!</v>
      </c>
    </row>
    <row r="192" spans="2:24" ht="20.25" hidden="1">
      <c r="B192" s="31">
        <v>10</v>
      </c>
      <c r="C192" s="39" t="e">
        <f>_xlfn.XLOOKUP(D:D,#REF!,#REF!)</f>
        <v>#REF!</v>
      </c>
      <c r="D192" s="32"/>
      <c r="E192" s="32"/>
      <c r="F192" s="38" t="e">
        <f>_xlfn.XLOOKUP(E192,#REF!,#REF!)</f>
        <v>#REF!</v>
      </c>
      <c r="G192" s="22" t="e">
        <f>_xlfn.XLOOKUP(E192,#REF!,#REF!)</f>
        <v>#REF!</v>
      </c>
      <c r="H192" s="22" t="e">
        <f>_xlfn.XLOOKUP(E192,#REF!,#REF!)</f>
        <v>#REF!</v>
      </c>
      <c r="I192" s="22" t="e">
        <f>_xlfn.XLOOKUP(E192,#REF!,#REF!)</f>
        <v>#REF!</v>
      </c>
      <c r="J192" s="23" t="e">
        <f>_xlfn.XLOOKUP(E192,#REF!,#REF!)</f>
        <v>#REF!</v>
      </c>
      <c r="K192" s="24" t="e">
        <f>_xlfn.XLOOKUP(E192,#REF!,#REF!)</f>
        <v>#REF!</v>
      </c>
      <c r="L192" s="25" t="e">
        <f t="shared" ref="L192:L208" si="47">M192+TIME(2,0,0)</f>
        <v>#REF!</v>
      </c>
      <c r="M192" s="24" t="e">
        <f>_xlfn.XLOOKUP(E192,#REF!,#REF!)</f>
        <v>#REF!</v>
      </c>
      <c r="N192" s="24" t="e">
        <f>_xlfn.XLOOKUP(E192,#REF!,#REF!)</f>
        <v>#REF!</v>
      </c>
      <c r="O192" s="26" t="e">
        <f t="shared" ref="O192:O208" si="48">IF(OR(N192=0,L192=0,N192="",L192=""),"ข้อมูลไม่ครบ",IF(TEXT(N192,"hh:mm:ss")&gt;TEXT(L192,"hh:mm:ss"),"เกินเวลาลงพัสดุ","อยู่ในเวลาที่ควรลง"))</f>
        <v>#REF!</v>
      </c>
      <c r="P192" s="24" t="e">
        <f>_xlfn.XLOOKUP(E192,#REF!,#REF!)</f>
        <v>#REF!</v>
      </c>
      <c r="Q192" s="27"/>
      <c r="R192" s="27"/>
      <c r="S192" s="28"/>
      <c r="T192" s="24" t="e">
        <f>_xlfn.XLOOKUP(E192,#REF!,#REF!)</f>
        <v>#REF!</v>
      </c>
      <c r="V192" s="25" t="e">
        <f t="shared" si="44"/>
        <v>#REF!</v>
      </c>
      <c r="W192" s="25" t="e">
        <f t="shared" si="45"/>
        <v>#REF!</v>
      </c>
      <c r="X192" s="29" t="e">
        <f t="shared" si="46"/>
        <v>#REF!</v>
      </c>
    </row>
    <row r="193" spans="2:24" ht="20.25" hidden="1">
      <c r="B193" s="31">
        <v>11</v>
      </c>
      <c r="C193" s="39" t="e">
        <f>_xlfn.XLOOKUP(D:D,#REF!,#REF!)</f>
        <v>#REF!</v>
      </c>
      <c r="D193" s="32"/>
      <c r="E193" s="32"/>
      <c r="F193" s="38" t="e">
        <f>_xlfn.XLOOKUP(E193,#REF!,#REF!)</f>
        <v>#REF!</v>
      </c>
      <c r="G193" s="22" t="e">
        <f>_xlfn.XLOOKUP(E193,#REF!,#REF!)</f>
        <v>#REF!</v>
      </c>
      <c r="H193" s="22" t="e">
        <f>_xlfn.XLOOKUP(E193,#REF!,#REF!)</f>
        <v>#REF!</v>
      </c>
      <c r="I193" s="22" t="e">
        <f>_xlfn.XLOOKUP(E193,#REF!,#REF!)</f>
        <v>#REF!</v>
      </c>
      <c r="J193" s="23" t="e">
        <f>_xlfn.XLOOKUP(E193,#REF!,#REF!)</f>
        <v>#REF!</v>
      </c>
      <c r="K193" s="24" t="e">
        <f>_xlfn.XLOOKUP(E193,#REF!,#REF!)</f>
        <v>#REF!</v>
      </c>
      <c r="L193" s="25" t="e">
        <f t="shared" si="47"/>
        <v>#REF!</v>
      </c>
      <c r="M193" s="24" t="e">
        <f>_xlfn.XLOOKUP(E193,#REF!,#REF!)</f>
        <v>#REF!</v>
      </c>
      <c r="N193" s="24" t="e">
        <f>_xlfn.XLOOKUP(E193,#REF!,#REF!)</f>
        <v>#REF!</v>
      </c>
      <c r="O193" s="26" t="e">
        <f t="shared" si="48"/>
        <v>#REF!</v>
      </c>
      <c r="P193" s="24" t="e">
        <f>_xlfn.XLOOKUP(E193,#REF!,#REF!)</f>
        <v>#REF!</v>
      </c>
      <c r="Q193" s="27"/>
      <c r="R193" s="27"/>
      <c r="S193" s="28"/>
      <c r="T193" s="24" t="e">
        <f>_xlfn.XLOOKUP(E193,#REF!,#REF!)</f>
        <v>#REF!</v>
      </c>
      <c r="V193" s="25" t="e">
        <f t="shared" si="44"/>
        <v>#REF!</v>
      </c>
      <c r="W193" s="25" t="e">
        <f t="shared" si="45"/>
        <v>#REF!</v>
      </c>
      <c r="X193" s="29" t="e">
        <f t="shared" si="46"/>
        <v>#REF!</v>
      </c>
    </row>
    <row r="194" spans="2:24" ht="20.25" hidden="1">
      <c r="B194" s="31">
        <v>12</v>
      </c>
      <c r="C194" s="39" t="e">
        <f>_xlfn.XLOOKUP(D:D,#REF!,#REF!)</f>
        <v>#REF!</v>
      </c>
      <c r="D194" s="32"/>
      <c r="E194" s="32"/>
      <c r="F194" s="38" t="e">
        <f>_xlfn.XLOOKUP(E194,#REF!,#REF!)</f>
        <v>#REF!</v>
      </c>
      <c r="G194" s="22" t="e">
        <f>_xlfn.XLOOKUP(E194,#REF!,#REF!)</f>
        <v>#REF!</v>
      </c>
      <c r="H194" s="22" t="e">
        <f>_xlfn.XLOOKUP(E194,#REF!,#REF!)</f>
        <v>#REF!</v>
      </c>
      <c r="I194" s="22" t="e">
        <f>_xlfn.XLOOKUP(E194,#REF!,#REF!)</f>
        <v>#REF!</v>
      </c>
      <c r="J194" s="23" t="e">
        <f>_xlfn.XLOOKUP(E194,#REF!,#REF!)</f>
        <v>#REF!</v>
      </c>
      <c r="K194" s="24" t="e">
        <f>_xlfn.XLOOKUP(E194,#REF!,#REF!)</f>
        <v>#REF!</v>
      </c>
      <c r="L194" s="25" t="e">
        <f t="shared" si="47"/>
        <v>#REF!</v>
      </c>
      <c r="M194" s="24" t="e">
        <f>_xlfn.XLOOKUP(E194,#REF!,#REF!)</f>
        <v>#REF!</v>
      </c>
      <c r="N194" s="24" t="e">
        <f>_xlfn.XLOOKUP(E194,#REF!,#REF!)</f>
        <v>#REF!</v>
      </c>
      <c r="O194" s="26" t="e">
        <f t="shared" si="48"/>
        <v>#REF!</v>
      </c>
      <c r="P194" s="24" t="e">
        <f>_xlfn.XLOOKUP(E194,#REF!,#REF!)</f>
        <v>#REF!</v>
      </c>
      <c r="Q194" s="27"/>
      <c r="R194" s="27"/>
      <c r="S194" s="28"/>
      <c r="T194" s="24" t="e">
        <f>_xlfn.XLOOKUP(E194,#REF!,#REF!)</f>
        <v>#REF!</v>
      </c>
      <c r="V194" s="25" t="e">
        <f t="shared" si="44"/>
        <v>#REF!</v>
      </c>
      <c r="W194" s="25" t="e">
        <f t="shared" si="45"/>
        <v>#REF!</v>
      </c>
      <c r="X194" s="29" t="e">
        <f t="shared" si="46"/>
        <v>#REF!</v>
      </c>
    </row>
    <row r="195" spans="2:24" ht="20.25" hidden="1">
      <c r="B195" s="31">
        <v>13</v>
      </c>
      <c r="C195" s="39" t="e">
        <f>_xlfn.XLOOKUP(D:D,#REF!,#REF!)</f>
        <v>#REF!</v>
      </c>
      <c r="D195" s="32"/>
      <c r="E195" s="32"/>
      <c r="F195" s="38" t="e">
        <f>_xlfn.XLOOKUP(E195,#REF!,#REF!)</f>
        <v>#REF!</v>
      </c>
      <c r="G195" s="22" t="e">
        <f>_xlfn.XLOOKUP(E195,#REF!,#REF!)</f>
        <v>#REF!</v>
      </c>
      <c r="H195" s="22" t="e">
        <f>_xlfn.XLOOKUP(E195,#REF!,#REF!)</f>
        <v>#REF!</v>
      </c>
      <c r="I195" s="22" t="e">
        <f>_xlfn.XLOOKUP(E195,#REF!,#REF!)</f>
        <v>#REF!</v>
      </c>
      <c r="J195" s="23" t="e">
        <f>_xlfn.XLOOKUP(E195,#REF!,#REF!)</f>
        <v>#REF!</v>
      </c>
      <c r="K195" s="24" t="e">
        <f>_xlfn.XLOOKUP(E195,#REF!,#REF!)</f>
        <v>#REF!</v>
      </c>
      <c r="L195" s="25" t="e">
        <f t="shared" si="47"/>
        <v>#REF!</v>
      </c>
      <c r="M195" s="24" t="e">
        <f>_xlfn.XLOOKUP(E195,#REF!,#REF!)</f>
        <v>#REF!</v>
      </c>
      <c r="N195" s="24" t="e">
        <f>_xlfn.XLOOKUP(E195,#REF!,#REF!)</f>
        <v>#REF!</v>
      </c>
      <c r="O195" s="26" t="e">
        <f t="shared" si="48"/>
        <v>#REF!</v>
      </c>
      <c r="P195" s="24" t="e">
        <f>_xlfn.XLOOKUP(E195,#REF!,#REF!)</f>
        <v>#REF!</v>
      </c>
      <c r="Q195" s="27"/>
      <c r="R195" s="27"/>
      <c r="S195" s="28"/>
      <c r="T195" s="24" t="e">
        <f>_xlfn.XLOOKUP(E195,#REF!,#REF!)</f>
        <v>#REF!</v>
      </c>
      <c r="V195" s="25" t="e">
        <f t="shared" si="44"/>
        <v>#REF!</v>
      </c>
      <c r="W195" s="25" t="e">
        <f t="shared" si="45"/>
        <v>#REF!</v>
      </c>
      <c r="X195" s="29" t="e">
        <f t="shared" si="46"/>
        <v>#REF!</v>
      </c>
    </row>
    <row r="196" spans="2:24" ht="20.25" hidden="1">
      <c r="B196" s="31">
        <v>14</v>
      </c>
      <c r="C196" s="39" t="e">
        <f>_xlfn.XLOOKUP(D:D,#REF!,#REF!)</f>
        <v>#REF!</v>
      </c>
      <c r="D196" s="32"/>
      <c r="E196" s="32"/>
      <c r="F196" s="38" t="e">
        <f>_xlfn.XLOOKUP(E196,#REF!,#REF!)</f>
        <v>#REF!</v>
      </c>
      <c r="G196" s="22" t="e">
        <f>_xlfn.XLOOKUP(E196,#REF!,#REF!)</f>
        <v>#REF!</v>
      </c>
      <c r="H196" s="22" t="e">
        <f>_xlfn.XLOOKUP(E196,#REF!,#REF!)</f>
        <v>#REF!</v>
      </c>
      <c r="I196" s="22" t="e">
        <f>_xlfn.XLOOKUP(E196,#REF!,#REF!)</f>
        <v>#REF!</v>
      </c>
      <c r="J196" s="23" t="e">
        <f>_xlfn.XLOOKUP(E196,#REF!,#REF!)</f>
        <v>#REF!</v>
      </c>
      <c r="K196" s="24" t="e">
        <f>_xlfn.XLOOKUP(E196,#REF!,#REF!)</f>
        <v>#REF!</v>
      </c>
      <c r="L196" s="25" t="e">
        <f t="shared" si="47"/>
        <v>#REF!</v>
      </c>
      <c r="M196" s="24" t="e">
        <f>_xlfn.XLOOKUP(E196,#REF!,#REF!)</f>
        <v>#REF!</v>
      </c>
      <c r="N196" s="24" t="e">
        <f>_xlfn.XLOOKUP(E196,#REF!,#REF!)</f>
        <v>#REF!</v>
      </c>
      <c r="O196" s="26" t="e">
        <f t="shared" si="48"/>
        <v>#REF!</v>
      </c>
      <c r="P196" s="24" t="e">
        <f>_xlfn.XLOOKUP(E196,#REF!,#REF!)</f>
        <v>#REF!</v>
      </c>
      <c r="Q196" s="27"/>
      <c r="R196" s="27"/>
      <c r="S196" s="28"/>
      <c r="T196" s="24" t="e">
        <f>_xlfn.XLOOKUP(E196,#REF!,#REF!)</f>
        <v>#REF!</v>
      </c>
      <c r="V196" s="25" t="e">
        <f t="shared" si="44"/>
        <v>#REF!</v>
      </c>
      <c r="W196" s="25" t="e">
        <f t="shared" si="45"/>
        <v>#REF!</v>
      </c>
      <c r="X196" s="29" t="e">
        <f t="shared" si="46"/>
        <v>#REF!</v>
      </c>
    </row>
    <row r="197" spans="2:24" ht="20.25" hidden="1">
      <c r="B197" s="31">
        <v>15</v>
      </c>
      <c r="C197" s="39" t="e">
        <f>_xlfn.XLOOKUP(D:D,#REF!,#REF!)</f>
        <v>#REF!</v>
      </c>
      <c r="D197" s="32"/>
      <c r="E197" s="32"/>
      <c r="F197" s="38" t="e">
        <f>_xlfn.XLOOKUP(E197,#REF!,#REF!)</f>
        <v>#REF!</v>
      </c>
      <c r="G197" s="22" t="e">
        <f>_xlfn.XLOOKUP(E197,#REF!,#REF!)</f>
        <v>#REF!</v>
      </c>
      <c r="H197" s="22" t="e">
        <f>_xlfn.XLOOKUP(E197,#REF!,#REF!)</f>
        <v>#REF!</v>
      </c>
      <c r="I197" s="22" t="e">
        <f>_xlfn.XLOOKUP(E197,#REF!,#REF!)</f>
        <v>#REF!</v>
      </c>
      <c r="J197" s="23" t="e">
        <f>_xlfn.XLOOKUP(E197,#REF!,#REF!)</f>
        <v>#REF!</v>
      </c>
      <c r="K197" s="24" t="e">
        <f>_xlfn.XLOOKUP(E197,#REF!,#REF!)</f>
        <v>#REF!</v>
      </c>
      <c r="L197" s="25" t="e">
        <f t="shared" si="47"/>
        <v>#REF!</v>
      </c>
      <c r="M197" s="24" t="e">
        <f>_xlfn.XLOOKUP(E197,#REF!,#REF!)</f>
        <v>#REF!</v>
      </c>
      <c r="N197" s="24" t="e">
        <f>_xlfn.XLOOKUP(E197,#REF!,#REF!)</f>
        <v>#REF!</v>
      </c>
      <c r="O197" s="26" t="e">
        <f t="shared" si="48"/>
        <v>#REF!</v>
      </c>
      <c r="P197" s="24" t="e">
        <f>_xlfn.XLOOKUP(E197,#REF!,#REF!)</f>
        <v>#REF!</v>
      </c>
      <c r="Q197" s="27"/>
      <c r="R197" s="27"/>
      <c r="S197" s="28"/>
      <c r="T197" s="24" t="e">
        <f>_xlfn.XLOOKUP(E197,#REF!,#REF!)</f>
        <v>#REF!</v>
      </c>
      <c r="V197" s="25" t="e">
        <f t="shared" si="44"/>
        <v>#REF!</v>
      </c>
      <c r="W197" s="25" t="e">
        <f t="shared" si="45"/>
        <v>#REF!</v>
      </c>
      <c r="X197" s="29" t="e">
        <f t="shared" si="46"/>
        <v>#REF!</v>
      </c>
    </row>
    <row r="198" spans="2:24" ht="20.25" hidden="1">
      <c r="B198" s="31">
        <v>16</v>
      </c>
      <c r="C198" s="39" t="e">
        <f>_xlfn.XLOOKUP(D:D,#REF!,#REF!)</f>
        <v>#REF!</v>
      </c>
      <c r="D198" s="32"/>
      <c r="E198" s="32"/>
      <c r="F198" s="38" t="e">
        <f>_xlfn.XLOOKUP(E198,#REF!,#REF!)</f>
        <v>#REF!</v>
      </c>
      <c r="G198" s="22" t="e">
        <f>_xlfn.XLOOKUP(E198,#REF!,#REF!)</f>
        <v>#REF!</v>
      </c>
      <c r="H198" s="22" t="e">
        <f>_xlfn.XLOOKUP(E198,#REF!,#REF!)</f>
        <v>#REF!</v>
      </c>
      <c r="I198" s="22" t="e">
        <f>_xlfn.XLOOKUP(E198,#REF!,#REF!)</f>
        <v>#REF!</v>
      </c>
      <c r="J198" s="23" t="e">
        <f>_xlfn.XLOOKUP(E198,#REF!,#REF!)</f>
        <v>#REF!</v>
      </c>
      <c r="K198" s="24" t="e">
        <f>_xlfn.XLOOKUP(E198,#REF!,#REF!)</f>
        <v>#REF!</v>
      </c>
      <c r="L198" s="25" t="e">
        <f t="shared" si="47"/>
        <v>#REF!</v>
      </c>
      <c r="M198" s="24" t="e">
        <f>_xlfn.XLOOKUP(E198,#REF!,#REF!)</f>
        <v>#REF!</v>
      </c>
      <c r="N198" s="24" t="e">
        <f>_xlfn.XLOOKUP(E198,#REF!,#REF!)</f>
        <v>#REF!</v>
      </c>
      <c r="O198" s="26" t="e">
        <f t="shared" si="48"/>
        <v>#REF!</v>
      </c>
      <c r="P198" s="24" t="e">
        <f>_xlfn.XLOOKUP(E198,#REF!,#REF!)</f>
        <v>#REF!</v>
      </c>
      <c r="Q198" s="27"/>
      <c r="R198" s="27"/>
      <c r="S198" s="28"/>
      <c r="T198" s="24" t="e">
        <f>_xlfn.XLOOKUP(E198,#REF!,#REF!)</f>
        <v>#REF!</v>
      </c>
      <c r="V198" s="25" t="e">
        <f t="shared" si="44"/>
        <v>#REF!</v>
      </c>
      <c r="W198" s="25" t="e">
        <f t="shared" si="45"/>
        <v>#REF!</v>
      </c>
      <c r="X198" s="29" t="e">
        <f t="shared" si="46"/>
        <v>#REF!</v>
      </c>
    </row>
    <row r="199" spans="2:24" ht="20.25" hidden="1">
      <c r="B199" s="31">
        <v>17</v>
      </c>
      <c r="C199" s="39" t="e">
        <f>_xlfn.XLOOKUP(D:D,#REF!,#REF!)</f>
        <v>#REF!</v>
      </c>
      <c r="D199" s="32"/>
      <c r="E199" s="32"/>
      <c r="F199" s="38" t="e">
        <f>_xlfn.XLOOKUP(E199,#REF!,#REF!)</f>
        <v>#REF!</v>
      </c>
      <c r="G199" s="22" t="e">
        <f>_xlfn.XLOOKUP(E199,#REF!,#REF!)</f>
        <v>#REF!</v>
      </c>
      <c r="H199" s="22" t="e">
        <f>_xlfn.XLOOKUP(E199,#REF!,#REF!)</f>
        <v>#REF!</v>
      </c>
      <c r="I199" s="22" t="e">
        <f>_xlfn.XLOOKUP(E199,#REF!,#REF!)</f>
        <v>#REF!</v>
      </c>
      <c r="J199" s="23" t="e">
        <f>_xlfn.XLOOKUP(E199,#REF!,#REF!)</f>
        <v>#REF!</v>
      </c>
      <c r="K199" s="24" t="e">
        <f>_xlfn.XLOOKUP(E199,#REF!,#REF!)</f>
        <v>#REF!</v>
      </c>
      <c r="L199" s="25" t="e">
        <f t="shared" si="47"/>
        <v>#REF!</v>
      </c>
      <c r="M199" s="24" t="e">
        <f>_xlfn.XLOOKUP(E199,#REF!,#REF!)</f>
        <v>#REF!</v>
      </c>
      <c r="N199" s="24" t="e">
        <f>_xlfn.XLOOKUP(E199,#REF!,#REF!)</f>
        <v>#REF!</v>
      </c>
      <c r="O199" s="26" t="e">
        <f t="shared" si="48"/>
        <v>#REF!</v>
      </c>
      <c r="P199" s="24" t="e">
        <f>_xlfn.XLOOKUP(E199,#REF!,#REF!)</f>
        <v>#REF!</v>
      </c>
      <c r="Q199" s="27"/>
      <c r="R199" s="27"/>
      <c r="S199" s="28"/>
      <c r="T199" s="24" t="e">
        <f>_xlfn.XLOOKUP(E199,#REF!,#REF!)</f>
        <v>#REF!</v>
      </c>
      <c r="V199" s="25" t="e">
        <f t="shared" si="44"/>
        <v>#REF!</v>
      </c>
      <c r="W199" s="25" t="e">
        <f t="shared" si="45"/>
        <v>#REF!</v>
      </c>
      <c r="X199" s="29" t="e">
        <f t="shared" si="46"/>
        <v>#REF!</v>
      </c>
    </row>
    <row r="200" spans="2:24" ht="20.25" hidden="1">
      <c r="B200" s="31">
        <v>18</v>
      </c>
      <c r="C200" s="39" t="e">
        <f>_xlfn.XLOOKUP(D:D,#REF!,#REF!)</f>
        <v>#REF!</v>
      </c>
      <c r="D200" s="32"/>
      <c r="E200" s="32"/>
      <c r="F200" s="38" t="e">
        <f>_xlfn.XLOOKUP(E200,#REF!,#REF!)</f>
        <v>#REF!</v>
      </c>
      <c r="G200" s="22" t="e">
        <f>_xlfn.XLOOKUP(E200,#REF!,#REF!)</f>
        <v>#REF!</v>
      </c>
      <c r="H200" s="22" t="e">
        <f>_xlfn.XLOOKUP(E200,#REF!,#REF!)</f>
        <v>#REF!</v>
      </c>
      <c r="I200" s="22" t="e">
        <f>_xlfn.XLOOKUP(E200,#REF!,#REF!)</f>
        <v>#REF!</v>
      </c>
      <c r="J200" s="23" t="e">
        <f>_xlfn.XLOOKUP(E200,#REF!,#REF!)</f>
        <v>#REF!</v>
      </c>
      <c r="K200" s="24" t="e">
        <f>_xlfn.XLOOKUP(E200,#REF!,#REF!)</f>
        <v>#REF!</v>
      </c>
      <c r="L200" s="25" t="e">
        <f t="shared" si="47"/>
        <v>#REF!</v>
      </c>
      <c r="M200" s="24" t="e">
        <f>_xlfn.XLOOKUP(E200,#REF!,#REF!)</f>
        <v>#REF!</v>
      </c>
      <c r="N200" s="24" t="e">
        <f>_xlfn.XLOOKUP(E200,#REF!,#REF!)</f>
        <v>#REF!</v>
      </c>
      <c r="O200" s="26" t="e">
        <f t="shared" si="48"/>
        <v>#REF!</v>
      </c>
      <c r="P200" s="24" t="e">
        <f>_xlfn.XLOOKUP(E200,#REF!,#REF!)</f>
        <v>#REF!</v>
      </c>
      <c r="Q200" s="27"/>
      <c r="R200" s="27"/>
      <c r="S200" s="28"/>
      <c r="T200" s="24" t="e">
        <f>_xlfn.XLOOKUP(E200,#REF!,#REF!)</f>
        <v>#REF!</v>
      </c>
      <c r="V200" s="25" t="e">
        <f t="shared" si="44"/>
        <v>#REF!</v>
      </c>
      <c r="W200" s="25" t="e">
        <f t="shared" si="45"/>
        <v>#REF!</v>
      </c>
      <c r="X200" s="29" t="e">
        <f t="shared" si="46"/>
        <v>#REF!</v>
      </c>
    </row>
    <row r="201" spans="2:24" ht="20.25" hidden="1">
      <c r="B201" s="31">
        <v>19</v>
      </c>
      <c r="C201" s="39" t="e">
        <f>_xlfn.XLOOKUP(D:D,#REF!,#REF!)</f>
        <v>#REF!</v>
      </c>
      <c r="D201" s="32"/>
      <c r="E201" s="32"/>
      <c r="F201" s="38" t="e">
        <f>_xlfn.XLOOKUP(E201,#REF!,#REF!)</f>
        <v>#REF!</v>
      </c>
      <c r="G201" s="22" t="e">
        <f>_xlfn.XLOOKUP(E201,#REF!,#REF!)</f>
        <v>#REF!</v>
      </c>
      <c r="H201" s="22" t="e">
        <f>_xlfn.XLOOKUP(E201,#REF!,#REF!)</f>
        <v>#REF!</v>
      </c>
      <c r="I201" s="22" t="e">
        <f>_xlfn.XLOOKUP(E201,#REF!,#REF!)</f>
        <v>#REF!</v>
      </c>
      <c r="J201" s="23" t="e">
        <f>_xlfn.XLOOKUP(E201,#REF!,#REF!)</f>
        <v>#REF!</v>
      </c>
      <c r="K201" s="24" t="e">
        <f>_xlfn.XLOOKUP(E201,#REF!,#REF!)</f>
        <v>#REF!</v>
      </c>
      <c r="L201" s="25" t="e">
        <f t="shared" si="47"/>
        <v>#REF!</v>
      </c>
      <c r="M201" s="24" t="e">
        <f>_xlfn.XLOOKUP(E201,#REF!,#REF!)</f>
        <v>#REF!</v>
      </c>
      <c r="N201" s="24" t="e">
        <f>_xlfn.XLOOKUP(E201,#REF!,#REF!)</f>
        <v>#REF!</v>
      </c>
      <c r="O201" s="26" t="e">
        <f t="shared" si="48"/>
        <v>#REF!</v>
      </c>
      <c r="P201" s="24" t="e">
        <f>_xlfn.XLOOKUP(E201,#REF!,#REF!)</f>
        <v>#REF!</v>
      </c>
      <c r="Q201" s="27"/>
      <c r="R201" s="27"/>
      <c r="S201" s="28"/>
      <c r="T201" s="24" t="e">
        <f>_xlfn.XLOOKUP(E201,#REF!,#REF!)</f>
        <v>#REF!</v>
      </c>
      <c r="X201" s="25" t="e">
        <f t="shared" ref="X201:X208" si="49">M201</f>
        <v>#REF!</v>
      </c>
    </row>
    <row r="202" spans="2:24" ht="20.25" hidden="1">
      <c r="B202" s="31">
        <v>20</v>
      </c>
      <c r="C202" s="39" t="e">
        <f>_xlfn.XLOOKUP(D:D,#REF!,#REF!)</f>
        <v>#REF!</v>
      </c>
      <c r="D202" s="32"/>
      <c r="E202" s="32"/>
      <c r="F202" s="38" t="e">
        <f>_xlfn.XLOOKUP(E202,#REF!,#REF!)</f>
        <v>#REF!</v>
      </c>
      <c r="G202" s="22" t="e">
        <f>_xlfn.XLOOKUP(E202,#REF!,#REF!)</f>
        <v>#REF!</v>
      </c>
      <c r="H202" s="22" t="e">
        <f>_xlfn.XLOOKUP(E202,#REF!,#REF!)</f>
        <v>#REF!</v>
      </c>
      <c r="I202" s="22" t="e">
        <f>_xlfn.XLOOKUP(E202,#REF!,#REF!)</f>
        <v>#REF!</v>
      </c>
      <c r="J202" s="23" t="e">
        <f>_xlfn.XLOOKUP(E202,#REF!,#REF!)</f>
        <v>#REF!</v>
      </c>
      <c r="K202" s="24" t="e">
        <f>_xlfn.XLOOKUP(E202,#REF!,#REF!)</f>
        <v>#REF!</v>
      </c>
      <c r="L202" s="25" t="e">
        <f t="shared" si="47"/>
        <v>#REF!</v>
      </c>
      <c r="M202" s="24" t="e">
        <f>_xlfn.XLOOKUP(E202,#REF!,#REF!)</f>
        <v>#REF!</v>
      </c>
      <c r="N202" s="24" t="e">
        <f>_xlfn.XLOOKUP(E202,#REF!,#REF!)</f>
        <v>#REF!</v>
      </c>
      <c r="O202" s="26" t="e">
        <f t="shared" si="48"/>
        <v>#REF!</v>
      </c>
      <c r="P202" s="24" t="e">
        <f>_xlfn.XLOOKUP(E202,#REF!,#REF!)</f>
        <v>#REF!</v>
      </c>
      <c r="Q202" s="27"/>
      <c r="R202" s="27"/>
      <c r="S202" s="28"/>
      <c r="T202" s="24" t="e">
        <f>_xlfn.XLOOKUP(E202,#REF!,#REF!)</f>
        <v>#REF!</v>
      </c>
      <c r="X202" s="25" t="e">
        <f t="shared" si="49"/>
        <v>#REF!</v>
      </c>
    </row>
    <row r="203" spans="2:24" ht="20.25" hidden="1">
      <c r="B203" s="31">
        <v>21</v>
      </c>
      <c r="C203" s="39" t="e">
        <f>_xlfn.XLOOKUP(D:D,#REF!,#REF!)</f>
        <v>#REF!</v>
      </c>
      <c r="D203" s="32"/>
      <c r="E203" s="32"/>
      <c r="F203" s="38" t="e">
        <f>_xlfn.XLOOKUP(E203,#REF!,#REF!)</f>
        <v>#REF!</v>
      </c>
      <c r="G203" s="22" t="e">
        <f>_xlfn.XLOOKUP(E203,#REF!,#REF!)</f>
        <v>#REF!</v>
      </c>
      <c r="H203" s="22" t="e">
        <f>_xlfn.XLOOKUP(E203,#REF!,#REF!)</f>
        <v>#REF!</v>
      </c>
      <c r="I203" s="22" t="e">
        <f>_xlfn.XLOOKUP(E203,#REF!,#REF!)</f>
        <v>#REF!</v>
      </c>
      <c r="J203" s="23" t="e">
        <f>_xlfn.XLOOKUP(E203,#REF!,#REF!)</f>
        <v>#REF!</v>
      </c>
      <c r="K203" s="24" t="e">
        <f>_xlfn.XLOOKUP(E203,#REF!,#REF!)</f>
        <v>#REF!</v>
      </c>
      <c r="L203" s="25" t="e">
        <f t="shared" si="47"/>
        <v>#REF!</v>
      </c>
      <c r="M203" s="24" t="e">
        <f>_xlfn.XLOOKUP(E203,#REF!,#REF!)</f>
        <v>#REF!</v>
      </c>
      <c r="N203" s="24" t="e">
        <f>_xlfn.XLOOKUP(E203,#REF!,#REF!)</f>
        <v>#REF!</v>
      </c>
      <c r="O203" s="26" t="e">
        <f t="shared" si="48"/>
        <v>#REF!</v>
      </c>
      <c r="P203" s="24" t="e">
        <f>_xlfn.XLOOKUP(E203,#REF!,#REF!)</f>
        <v>#REF!</v>
      </c>
      <c r="Q203" s="27"/>
      <c r="R203" s="27"/>
      <c r="S203" s="28"/>
      <c r="T203" s="24" t="e">
        <f>_xlfn.XLOOKUP(E203,#REF!,#REF!)</f>
        <v>#REF!</v>
      </c>
      <c r="X203" s="25" t="e">
        <f t="shared" si="49"/>
        <v>#REF!</v>
      </c>
    </row>
    <row r="204" spans="2:24" ht="20.25" hidden="1">
      <c r="B204" s="31">
        <v>22</v>
      </c>
      <c r="C204" s="39" t="e">
        <f>_xlfn.XLOOKUP(D:D,#REF!,#REF!)</f>
        <v>#REF!</v>
      </c>
      <c r="D204" s="32"/>
      <c r="E204" s="32"/>
      <c r="F204" s="38" t="e">
        <f>_xlfn.XLOOKUP(E204,#REF!,#REF!)</f>
        <v>#REF!</v>
      </c>
      <c r="G204" s="22" t="e">
        <f>_xlfn.XLOOKUP(E204,#REF!,#REF!)</f>
        <v>#REF!</v>
      </c>
      <c r="H204" s="22" t="e">
        <f>_xlfn.XLOOKUP(E204,#REF!,#REF!)</f>
        <v>#REF!</v>
      </c>
      <c r="I204" s="22" t="e">
        <f>_xlfn.XLOOKUP(E204,#REF!,#REF!)</f>
        <v>#REF!</v>
      </c>
      <c r="J204" s="23" t="e">
        <f>_xlfn.XLOOKUP(E204,#REF!,#REF!)</f>
        <v>#REF!</v>
      </c>
      <c r="K204" s="24" t="e">
        <f>_xlfn.XLOOKUP(E204,#REF!,#REF!)</f>
        <v>#REF!</v>
      </c>
      <c r="L204" s="25" t="e">
        <f t="shared" si="47"/>
        <v>#REF!</v>
      </c>
      <c r="M204" s="24" t="e">
        <f>_xlfn.XLOOKUP(E204,#REF!,#REF!)</f>
        <v>#REF!</v>
      </c>
      <c r="N204" s="24" t="e">
        <f>_xlfn.XLOOKUP(E204,#REF!,#REF!)</f>
        <v>#REF!</v>
      </c>
      <c r="O204" s="26" t="e">
        <f t="shared" si="48"/>
        <v>#REF!</v>
      </c>
      <c r="P204" s="24" t="e">
        <f>_xlfn.XLOOKUP(E204,#REF!,#REF!)</f>
        <v>#REF!</v>
      </c>
      <c r="Q204" s="27"/>
      <c r="R204" s="27"/>
      <c r="S204" s="28"/>
      <c r="T204" s="24" t="e">
        <f>_xlfn.XLOOKUP(E204,#REF!,#REF!)</f>
        <v>#REF!</v>
      </c>
      <c r="X204" s="25" t="e">
        <f t="shared" si="49"/>
        <v>#REF!</v>
      </c>
    </row>
    <row r="205" spans="2:24" ht="20.25" hidden="1">
      <c r="B205" s="31">
        <v>23</v>
      </c>
      <c r="C205" s="39" t="e">
        <f>_xlfn.XLOOKUP(D:D,#REF!,#REF!)</f>
        <v>#REF!</v>
      </c>
      <c r="D205" s="32"/>
      <c r="E205" s="32"/>
      <c r="F205" s="38" t="e">
        <f>_xlfn.XLOOKUP(E205,#REF!,#REF!)</f>
        <v>#REF!</v>
      </c>
      <c r="G205" s="22" t="e">
        <f>_xlfn.XLOOKUP(E205,#REF!,#REF!)</f>
        <v>#REF!</v>
      </c>
      <c r="H205" s="22" t="e">
        <f>_xlfn.XLOOKUP(E205,#REF!,#REF!)</f>
        <v>#REF!</v>
      </c>
      <c r="I205" s="22" t="e">
        <f>_xlfn.XLOOKUP(E205,#REF!,#REF!)</f>
        <v>#REF!</v>
      </c>
      <c r="J205" s="23" t="e">
        <f>_xlfn.XLOOKUP(E205,#REF!,#REF!)</f>
        <v>#REF!</v>
      </c>
      <c r="K205" s="24" t="e">
        <f>_xlfn.XLOOKUP(E205,#REF!,#REF!)</f>
        <v>#REF!</v>
      </c>
      <c r="L205" s="25" t="e">
        <f t="shared" si="47"/>
        <v>#REF!</v>
      </c>
      <c r="M205" s="24" t="e">
        <f>_xlfn.XLOOKUP(E205,#REF!,#REF!)</f>
        <v>#REF!</v>
      </c>
      <c r="N205" s="24" t="e">
        <f>_xlfn.XLOOKUP(E205,#REF!,#REF!)</f>
        <v>#REF!</v>
      </c>
      <c r="O205" s="26" t="e">
        <f t="shared" si="48"/>
        <v>#REF!</v>
      </c>
      <c r="P205" s="24" t="e">
        <f>_xlfn.XLOOKUP(E205,#REF!,#REF!)</f>
        <v>#REF!</v>
      </c>
      <c r="Q205" s="27"/>
      <c r="R205" s="27"/>
      <c r="S205" s="28"/>
      <c r="T205" s="24" t="e">
        <f>_xlfn.XLOOKUP(E205,#REF!,#REF!)</f>
        <v>#REF!</v>
      </c>
      <c r="X205" s="25" t="e">
        <f t="shared" si="49"/>
        <v>#REF!</v>
      </c>
    </row>
    <row r="206" spans="2:24" ht="20.25" hidden="1">
      <c r="B206" s="31">
        <v>24</v>
      </c>
      <c r="C206" s="39" t="e">
        <f>_xlfn.XLOOKUP(D:D,#REF!,#REF!)</f>
        <v>#REF!</v>
      </c>
      <c r="D206" s="32"/>
      <c r="E206" s="32"/>
      <c r="F206" s="38" t="e">
        <f>_xlfn.XLOOKUP(E206,#REF!,#REF!)</f>
        <v>#REF!</v>
      </c>
      <c r="G206" s="22" t="e">
        <f>_xlfn.XLOOKUP(E206,#REF!,#REF!)</f>
        <v>#REF!</v>
      </c>
      <c r="H206" s="22" t="e">
        <f>_xlfn.XLOOKUP(E206,#REF!,#REF!)</f>
        <v>#REF!</v>
      </c>
      <c r="I206" s="22" t="e">
        <f>_xlfn.XLOOKUP(E206,#REF!,#REF!)</f>
        <v>#REF!</v>
      </c>
      <c r="J206" s="23" t="e">
        <f>_xlfn.XLOOKUP(E206,#REF!,#REF!)</f>
        <v>#REF!</v>
      </c>
      <c r="K206" s="24" t="e">
        <f>_xlfn.XLOOKUP(E206,#REF!,#REF!)</f>
        <v>#REF!</v>
      </c>
      <c r="L206" s="25" t="e">
        <f t="shared" si="47"/>
        <v>#REF!</v>
      </c>
      <c r="M206" s="24" t="e">
        <f>_xlfn.XLOOKUP(E206,#REF!,#REF!)</f>
        <v>#REF!</v>
      </c>
      <c r="N206" s="24" t="e">
        <f>_xlfn.XLOOKUP(E206,#REF!,#REF!)</f>
        <v>#REF!</v>
      </c>
      <c r="O206" s="26" t="e">
        <f t="shared" si="48"/>
        <v>#REF!</v>
      </c>
      <c r="P206" s="24" t="e">
        <f>_xlfn.XLOOKUP(E206,#REF!,#REF!)</f>
        <v>#REF!</v>
      </c>
      <c r="Q206" s="27"/>
      <c r="R206" s="27"/>
      <c r="S206" s="28"/>
      <c r="T206" s="24" t="e">
        <f>_xlfn.XLOOKUP(E206,#REF!,#REF!)</f>
        <v>#REF!</v>
      </c>
      <c r="X206" s="25" t="e">
        <f t="shared" si="49"/>
        <v>#REF!</v>
      </c>
    </row>
    <row r="207" spans="2:24" ht="20.25" hidden="1">
      <c r="B207" s="31">
        <v>25</v>
      </c>
      <c r="C207" s="39" t="e">
        <f>_xlfn.XLOOKUP(D:D,#REF!,#REF!)</f>
        <v>#REF!</v>
      </c>
      <c r="D207" s="32"/>
      <c r="E207" s="32"/>
      <c r="F207" s="38" t="e">
        <f>_xlfn.XLOOKUP(E207,#REF!,#REF!)</f>
        <v>#REF!</v>
      </c>
      <c r="G207" s="22" t="e">
        <f>_xlfn.XLOOKUP(E207,#REF!,#REF!)</f>
        <v>#REF!</v>
      </c>
      <c r="H207" s="22" t="e">
        <f>_xlfn.XLOOKUP(E207,#REF!,#REF!)</f>
        <v>#REF!</v>
      </c>
      <c r="I207" s="22" t="e">
        <f>_xlfn.XLOOKUP(E207,#REF!,#REF!)</f>
        <v>#REF!</v>
      </c>
      <c r="J207" s="23" t="e">
        <f>_xlfn.XLOOKUP(E207,#REF!,#REF!)</f>
        <v>#REF!</v>
      </c>
      <c r="K207" s="24" t="e">
        <f>_xlfn.XLOOKUP(E207,#REF!,#REF!)</f>
        <v>#REF!</v>
      </c>
      <c r="L207" s="25" t="e">
        <f t="shared" si="47"/>
        <v>#REF!</v>
      </c>
      <c r="M207" s="24" t="e">
        <f>_xlfn.XLOOKUP(E207,#REF!,#REF!)</f>
        <v>#REF!</v>
      </c>
      <c r="N207" s="24" t="e">
        <f>_xlfn.XLOOKUP(E207,#REF!,#REF!)</f>
        <v>#REF!</v>
      </c>
      <c r="O207" s="26" t="e">
        <f t="shared" si="48"/>
        <v>#REF!</v>
      </c>
      <c r="P207" s="24" t="e">
        <f>_xlfn.XLOOKUP(E207,#REF!,#REF!)</f>
        <v>#REF!</v>
      </c>
      <c r="Q207" s="27"/>
      <c r="R207" s="27"/>
      <c r="S207" s="28"/>
      <c r="T207" s="24" t="e">
        <f>_xlfn.XLOOKUP(E207,#REF!,#REF!)</f>
        <v>#REF!</v>
      </c>
      <c r="X207" s="25" t="e">
        <f t="shared" si="49"/>
        <v>#REF!</v>
      </c>
    </row>
    <row r="208" spans="2:24" ht="20.25" hidden="1">
      <c r="B208" s="31">
        <v>26</v>
      </c>
      <c r="C208" s="39" t="e">
        <f>_xlfn.XLOOKUP(D:D,#REF!,#REF!)</f>
        <v>#REF!</v>
      </c>
      <c r="D208" s="32"/>
      <c r="E208" s="32"/>
      <c r="F208" s="38" t="e">
        <f>_xlfn.XLOOKUP(E208,#REF!,#REF!)</f>
        <v>#REF!</v>
      </c>
      <c r="G208" s="22" t="e">
        <f>_xlfn.XLOOKUP(E208,#REF!,#REF!)</f>
        <v>#REF!</v>
      </c>
      <c r="H208" s="22" t="e">
        <f>_xlfn.XLOOKUP(E208,#REF!,#REF!)</f>
        <v>#REF!</v>
      </c>
      <c r="I208" s="22" t="e">
        <f>_xlfn.XLOOKUP(E208,#REF!,#REF!)</f>
        <v>#REF!</v>
      </c>
      <c r="J208" s="23" t="e">
        <f>_xlfn.XLOOKUP(E208,#REF!,#REF!)</f>
        <v>#REF!</v>
      </c>
      <c r="K208" s="24" t="e">
        <f>_xlfn.XLOOKUP(E208,#REF!,#REF!)</f>
        <v>#REF!</v>
      </c>
      <c r="L208" s="25" t="e">
        <f t="shared" si="47"/>
        <v>#REF!</v>
      </c>
      <c r="M208" s="24" t="e">
        <f>_xlfn.XLOOKUP(E208,#REF!,#REF!)</f>
        <v>#REF!</v>
      </c>
      <c r="N208" s="24" t="e">
        <f>_xlfn.XLOOKUP(E208,#REF!,#REF!)</f>
        <v>#REF!</v>
      </c>
      <c r="O208" s="26" t="e">
        <f t="shared" si="48"/>
        <v>#REF!</v>
      </c>
      <c r="P208" s="24" t="e">
        <f>_xlfn.XLOOKUP(E208,#REF!,#REF!)</f>
        <v>#REF!</v>
      </c>
      <c r="Q208" s="27"/>
      <c r="R208" s="27"/>
      <c r="S208" s="28"/>
      <c r="T208" s="24" t="e">
        <f>_xlfn.XLOOKUP(E208,#REF!,#REF!)</f>
        <v>#REF!</v>
      </c>
      <c r="X208" s="25" t="e">
        <f t="shared" si="49"/>
        <v>#REF!</v>
      </c>
    </row>
    <row r="209" spans="2:24" ht="20.25" hidden="1">
      <c r="B209" s="31">
        <v>27</v>
      </c>
      <c r="C209" s="39" t="e">
        <f>_xlfn.XLOOKUP(D:D,#REF!,#REF!)</f>
        <v>#REF!</v>
      </c>
      <c r="D209" s="32"/>
      <c r="E209" s="32"/>
      <c r="F209" s="38" t="e">
        <f>_xlfn.XLOOKUP(E209,#REF!,#REF!)</f>
        <v>#REF!</v>
      </c>
      <c r="G209" s="22" t="e">
        <f>_xlfn.XLOOKUP(E209,#REF!,#REF!)</f>
        <v>#REF!</v>
      </c>
      <c r="H209" s="22" t="e">
        <f>_xlfn.XLOOKUP(E209,#REF!,#REF!)</f>
        <v>#REF!</v>
      </c>
      <c r="I209" s="22" t="e">
        <f>_xlfn.XLOOKUP(E209,#REF!,#REF!)</f>
        <v>#REF!</v>
      </c>
      <c r="J209" s="23" t="e">
        <f>_xlfn.XLOOKUP(E209,#REF!,#REF!)</f>
        <v>#REF!</v>
      </c>
      <c r="K209" s="24" t="e">
        <f>_xlfn.XLOOKUP(E209,#REF!,#REF!)</f>
        <v>#REF!</v>
      </c>
      <c r="L209" s="25" t="e">
        <f t="shared" ref="L209:L229" si="50">M209+TIME(2,0,0)</f>
        <v>#REF!</v>
      </c>
      <c r="M209" s="24" t="e">
        <f>_xlfn.XLOOKUP(E209,#REF!,#REF!)</f>
        <v>#REF!</v>
      </c>
      <c r="N209" s="24" t="e">
        <f>_xlfn.XLOOKUP(E209,#REF!,#REF!)</f>
        <v>#REF!</v>
      </c>
      <c r="O209" s="26" t="e">
        <f t="shared" ref="O209:O229" si="51">IF(OR(N209=0,L209=0,N209="",L209=""),"ข้อมูลไม่ครบ",IF(TEXT(N209,"hh:mm:ss")&gt;TEXT(L209,"hh:mm:ss"),"เกินเวลาลงพัสดุ","อยู่ในเวลาที่ควรลง"))</f>
        <v>#REF!</v>
      </c>
      <c r="P209" s="24" t="e">
        <f>_xlfn.XLOOKUP(E209,#REF!,#REF!)</f>
        <v>#REF!</v>
      </c>
      <c r="Q209" s="27"/>
      <c r="R209" s="27"/>
      <c r="S209" s="28"/>
      <c r="T209" s="24" t="e">
        <f>_xlfn.XLOOKUP(E209,#REF!,#REF!)</f>
        <v>#REF!</v>
      </c>
      <c r="X209" s="40"/>
    </row>
    <row r="210" spans="2:24" ht="20.25" hidden="1">
      <c r="B210" s="31">
        <v>28</v>
      </c>
      <c r="C210" s="39" t="e">
        <f>_xlfn.XLOOKUP(D:D,#REF!,#REF!)</f>
        <v>#REF!</v>
      </c>
      <c r="D210" s="32"/>
      <c r="E210" s="32"/>
      <c r="F210" s="38" t="e">
        <f>_xlfn.XLOOKUP(E210,#REF!,#REF!)</f>
        <v>#REF!</v>
      </c>
      <c r="G210" s="22" t="e">
        <f>_xlfn.XLOOKUP(E210,#REF!,#REF!)</f>
        <v>#REF!</v>
      </c>
      <c r="H210" s="22" t="e">
        <f>_xlfn.XLOOKUP(E210,#REF!,#REF!)</f>
        <v>#REF!</v>
      </c>
      <c r="I210" s="22" t="e">
        <f>_xlfn.XLOOKUP(E210,#REF!,#REF!)</f>
        <v>#REF!</v>
      </c>
      <c r="J210" s="23" t="e">
        <f>_xlfn.XLOOKUP(E210,#REF!,#REF!)</f>
        <v>#REF!</v>
      </c>
      <c r="K210" s="24" t="e">
        <f>_xlfn.XLOOKUP(E210,#REF!,#REF!)</f>
        <v>#REF!</v>
      </c>
      <c r="L210" s="25" t="e">
        <f t="shared" si="50"/>
        <v>#REF!</v>
      </c>
      <c r="M210" s="24" t="e">
        <f>_xlfn.XLOOKUP(E210,#REF!,#REF!)</f>
        <v>#REF!</v>
      </c>
      <c r="N210" s="24" t="e">
        <f>_xlfn.XLOOKUP(E210,#REF!,#REF!)</f>
        <v>#REF!</v>
      </c>
      <c r="O210" s="26" t="e">
        <f t="shared" si="51"/>
        <v>#REF!</v>
      </c>
      <c r="P210" s="24" t="e">
        <f>_xlfn.XLOOKUP(E210,#REF!,#REF!)</f>
        <v>#REF!</v>
      </c>
      <c r="Q210" s="27"/>
      <c r="R210" s="27"/>
      <c r="S210" s="28"/>
      <c r="T210" s="24" t="e">
        <f>_xlfn.XLOOKUP(E210,#REF!,#REF!)</f>
        <v>#REF!</v>
      </c>
      <c r="X210" s="40"/>
    </row>
    <row r="211" spans="2:24" ht="20.25" hidden="1">
      <c r="B211" s="31">
        <v>29</v>
      </c>
      <c r="C211" s="39" t="e">
        <f>_xlfn.XLOOKUP(D:D,#REF!,#REF!)</f>
        <v>#REF!</v>
      </c>
      <c r="D211" s="32"/>
      <c r="E211" s="32"/>
      <c r="F211" s="38" t="e">
        <f>_xlfn.XLOOKUP(E211,#REF!,#REF!)</f>
        <v>#REF!</v>
      </c>
      <c r="G211" s="22" t="e">
        <f>_xlfn.XLOOKUP(E211,#REF!,#REF!)</f>
        <v>#REF!</v>
      </c>
      <c r="H211" s="22" t="e">
        <f>_xlfn.XLOOKUP(E211,#REF!,#REF!)</f>
        <v>#REF!</v>
      </c>
      <c r="I211" s="22" t="e">
        <f>_xlfn.XLOOKUP(E211,#REF!,#REF!)</f>
        <v>#REF!</v>
      </c>
      <c r="J211" s="23" t="e">
        <f>_xlfn.XLOOKUP(E211,#REF!,#REF!)</f>
        <v>#REF!</v>
      </c>
      <c r="K211" s="24" t="e">
        <f>_xlfn.XLOOKUP(E211,#REF!,#REF!)</f>
        <v>#REF!</v>
      </c>
      <c r="L211" s="25" t="e">
        <f t="shared" si="50"/>
        <v>#REF!</v>
      </c>
      <c r="M211" s="24" t="e">
        <f>_xlfn.XLOOKUP(E211,#REF!,#REF!)</f>
        <v>#REF!</v>
      </c>
      <c r="N211" s="24" t="e">
        <f>_xlfn.XLOOKUP(E211,#REF!,#REF!)</f>
        <v>#REF!</v>
      </c>
      <c r="O211" s="26" t="e">
        <f t="shared" si="51"/>
        <v>#REF!</v>
      </c>
      <c r="P211" s="24" t="e">
        <f>_xlfn.XLOOKUP(E211,#REF!,#REF!)</f>
        <v>#REF!</v>
      </c>
      <c r="Q211" s="27"/>
      <c r="R211" s="27"/>
      <c r="S211" s="28"/>
      <c r="T211" s="24" t="e">
        <f>_xlfn.XLOOKUP(E211,#REF!,#REF!)</f>
        <v>#REF!</v>
      </c>
      <c r="X211" s="40"/>
    </row>
    <row r="212" spans="2:24" ht="20.25" hidden="1">
      <c r="B212" s="31">
        <v>30</v>
      </c>
      <c r="C212" s="39" t="e">
        <f>_xlfn.XLOOKUP(D:D,#REF!,#REF!)</f>
        <v>#REF!</v>
      </c>
      <c r="D212" s="32"/>
      <c r="E212" s="32"/>
      <c r="F212" s="38" t="e">
        <f>_xlfn.XLOOKUP(E212,#REF!,#REF!)</f>
        <v>#REF!</v>
      </c>
      <c r="G212" s="22" t="e">
        <f>_xlfn.XLOOKUP(E212,#REF!,#REF!)</f>
        <v>#REF!</v>
      </c>
      <c r="H212" s="22" t="e">
        <f>_xlfn.XLOOKUP(E212,#REF!,#REF!)</f>
        <v>#REF!</v>
      </c>
      <c r="I212" s="22" t="e">
        <f>_xlfn.XLOOKUP(E212,#REF!,#REF!)</f>
        <v>#REF!</v>
      </c>
      <c r="J212" s="23" t="e">
        <f>_xlfn.XLOOKUP(E212,#REF!,#REF!)</f>
        <v>#REF!</v>
      </c>
      <c r="K212" s="24" t="e">
        <f>_xlfn.XLOOKUP(E212,#REF!,#REF!)</f>
        <v>#REF!</v>
      </c>
      <c r="L212" s="25" t="e">
        <f t="shared" si="50"/>
        <v>#REF!</v>
      </c>
      <c r="M212" s="24" t="e">
        <f>_xlfn.XLOOKUP(E212,#REF!,#REF!)</f>
        <v>#REF!</v>
      </c>
      <c r="N212" s="24" t="e">
        <f>_xlfn.XLOOKUP(E212,#REF!,#REF!)</f>
        <v>#REF!</v>
      </c>
      <c r="O212" s="26" t="e">
        <f t="shared" si="51"/>
        <v>#REF!</v>
      </c>
      <c r="P212" s="24" t="e">
        <f>_xlfn.XLOOKUP(E212,#REF!,#REF!)</f>
        <v>#REF!</v>
      </c>
      <c r="Q212" s="27"/>
      <c r="R212" s="27"/>
      <c r="S212" s="28"/>
      <c r="T212" s="24" t="e">
        <f>_xlfn.XLOOKUP(E212,#REF!,#REF!)</f>
        <v>#REF!</v>
      </c>
      <c r="X212" s="40"/>
    </row>
    <row r="213" spans="2:24" ht="20.25" hidden="1">
      <c r="B213" s="31">
        <v>31</v>
      </c>
      <c r="C213" s="39" t="e">
        <f>_xlfn.XLOOKUP(D:D,#REF!,#REF!)</f>
        <v>#REF!</v>
      </c>
      <c r="D213" s="32"/>
      <c r="E213" s="32"/>
      <c r="F213" s="38" t="e">
        <f>_xlfn.XLOOKUP(E213,#REF!,#REF!)</f>
        <v>#REF!</v>
      </c>
      <c r="G213" s="22" t="e">
        <f>_xlfn.XLOOKUP(E213,#REF!,#REF!)</f>
        <v>#REF!</v>
      </c>
      <c r="H213" s="22" t="e">
        <f>_xlfn.XLOOKUP(E213,#REF!,#REF!)</f>
        <v>#REF!</v>
      </c>
      <c r="I213" s="22" t="e">
        <f>_xlfn.XLOOKUP(E213,#REF!,#REF!)</f>
        <v>#REF!</v>
      </c>
      <c r="J213" s="23" t="e">
        <f>_xlfn.XLOOKUP(E213,#REF!,#REF!)</f>
        <v>#REF!</v>
      </c>
      <c r="K213" s="24" t="e">
        <f>_xlfn.XLOOKUP(E213,#REF!,#REF!)</f>
        <v>#REF!</v>
      </c>
      <c r="L213" s="25" t="e">
        <f t="shared" si="50"/>
        <v>#REF!</v>
      </c>
      <c r="M213" s="24" t="e">
        <f>_xlfn.XLOOKUP(E213,#REF!,#REF!)</f>
        <v>#REF!</v>
      </c>
      <c r="N213" s="24" t="e">
        <f>_xlfn.XLOOKUP(E213,#REF!,#REF!)</f>
        <v>#REF!</v>
      </c>
      <c r="O213" s="26" t="e">
        <f t="shared" si="51"/>
        <v>#REF!</v>
      </c>
      <c r="P213" s="24" t="e">
        <f>_xlfn.XLOOKUP(E213,#REF!,#REF!)</f>
        <v>#REF!</v>
      </c>
      <c r="Q213" s="27"/>
      <c r="R213" s="27"/>
      <c r="S213" s="28"/>
      <c r="T213" s="24" t="e">
        <f>_xlfn.XLOOKUP(E213,#REF!,#REF!)</f>
        <v>#REF!</v>
      </c>
      <c r="X213" s="40"/>
    </row>
    <row r="214" spans="2:24" ht="20.25" hidden="1">
      <c r="B214" s="31">
        <v>32</v>
      </c>
      <c r="C214" s="39" t="e">
        <f>_xlfn.XLOOKUP(D:D,#REF!,#REF!)</f>
        <v>#REF!</v>
      </c>
      <c r="D214" s="32"/>
      <c r="E214" s="32"/>
      <c r="F214" s="38" t="e">
        <f>_xlfn.XLOOKUP(E214,#REF!,#REF!)</f>
        <v>#REF!</v>
      </c>
      <c r="G214" s="22" t="e">
        <f>_xlfn.XLOOKUP(E214,#REF!,#REF!)</f>
        <v>#REF!</v>
      </c>
      <c r="H214" s="22" t="e">
        <f>_xlfn.XLOOKUP(E214,#REF!,#REF!)</f>
        <v>#REF!</v>
      </c>
      <c r="I214" s="22" t="e">
        <f>_xlfn.XLOOKUP(E214,#REF!,#REF!)</f>
        <v>#REF!</v>
      </c>
      <c r="J214" s="23" t="e">
        <f>_xlfn.XLOOKUP(E214,#REF!,#REF!)</f>
        <v>#REF!</v>
      </c>
      <c r="K214" s="24" t="e">
        <f>_xlfn.XLOOKUP(E214,#REF!,#REF!)</f>
        <v>#REF!</v>
      </c>
      <c r="L214" s="25" t="e">
        <f t="shared" si="50"/>
        <v>#REF!</v>
      </c>
      <c r="M214" s="24" t="e">
        <f>_xlfn.XLOOKUP(E214,#REF!,#REF!)</f>
        <v>#REF!</v>
      </c>
      <c r="N214" s="24" t="e">
        <f>_xlfn.XLOOKUP(E214,#REF!,#REF!)</f>
        <v>#REF!</v>
      </c>
      <c r="O214" s="26" t="e">
        <f t="shared" si="51"/>
        <v>#REF!</v>
      </c>
      <c r="P214" s="24" t="e">
        <f>_xlfn.XLOOKUP(E214,#REF!,#REF!)</f>
        <v>#REF!</v>
      </c>
      <c r="Q214" s="27"/>
      <c r="R214" s="27"/>
      <c r="S214" s="28"/>
      <c r="T214" s="24" t="e">
        <f>_xlfn.XLOOKUP(E214,#REF!,#REF!)</f>
        <v>#REF!</v>
      </c>
      <c r="X214" s="40"/>
    </row>
    <row r="215" spans="2:24" ht="20.25" hidden="1">
      <c r="B215" s="31">
        <v>33</v>
      </c>
      <c r="C215" s="39" t="e">
        <f>_xlfn.XLOOKUP(D:D,#REF!,#REF!)</f>
        <v>#REF!</v>
      </c>
      <c r="D215" s="32"/>
      <c r="E215" s="32"/>
      <c r="F215" s="38" t="e">
        <f>_xlfn.XLOOKUP(E215,#REF!,#REF!)</f>
        <v>#REF!</v>
      </c>
      <c r="G215" s="22" t="e">
        <f>_xlfn.XLOOKUP(E215,#REF!,#REF!)</f>
        <v>#REF!</v>
      </c>
      <c r="H215" s="22" t="e">
        <f>_xlfn.XLOOKUP(E215,#REF!,#REF!)</f>
        <v>#REF!</v>
      </c>
      <c r="I215" s="22" t="e">
        <f>_xlfn.XLOOKUP(E215,#REF!,#REF!)</f>
        <v>#REF!</v>
      </c>
      <c r="J215" s="23" t="e">
        <f>_xlfn.XLOOKUP(E215,#REF!,#REF!)</f>
        <v>#REF!</v>
      </c>
      <c r="K215" s="24" t="e">
        <f>_xlfn.XLOOKUP(E215,#REF!,#REF!)</f>
        <v>#REF!</v>
      </c>
      <c r="L215" s="25" t="e">
        <f t="shared" si="50"/>
        <v>#REF!</v>
      </c>
      <c r="M215" s="24" t="e">
        <f>_xlfn.XLOOKUP(E215,#REF!,#REF!)</f>
        <v>#REF!</v>
      </c>
      <c r="N215" s="24" t="e">
        <f>_xlfn.XLOOKUP(E215,#REF!,#REF!)</f>
        <v>#REF!</v>
      </c>
      <c r="O215" s="26" t="e">
        <f t="shared" si="51"/>
        <v>#REF!</v>
      </c>
      <c r="P215" s="24" t="e">
        <f>_xlfn.XLOOKUP(E215,#REF!,#REF!)</f>
        <v>#REF!</v>
      </c>
      <c r="Q215" s="27"/>
      <c r="R215" s="27"/>
      <c r="S215" s="28"/>
      <c r="T215" s="24" t="e">
        <f>_xlfn.XLOOKUP(E215,#REF!,#REF!)</f>
        <v>#REF!</v>
      </c>
      <c r="X215" s="40"/>
    </row>
    <row r="216" spans="2:24" ht="20.25" hidden="1">
      <c r="B216" s="31">
        <v>34</v>
      </c>
      <c r="C216" s="39" t="e">
        <f>_xlfn.XLOOKUP(D:D,#REF!,#REF!)</f>
        <v>#REF!</v>
      </c>
      <c r="D216" s="32"/>
      <c r="E216" s="32"/>
      <c r="F216" s="38" t="e">
        <f>_xlfn.XLOOKUP(E216,#REF!,#REF!)</f>
        <v>#REF!</v>
      </c>
      <c r="G216" s="22" t="e">
        <f>_xlfn.XLOOKUP(E216,#REF!,#REF!)</f>
        <v>#REF!</v>
      </c>
      <c r="H216" s="22" t="e">
        <f>_xlfn.XLOOKUP(E216,#REF!,#REF!)</f>
        <v>#REF!</v>
      </c>
      <c r="I216" s="22" t="e">
        <f>_xlfn.XLOOKUP(E216,#REF!,#REF!)</f>
        <v>#REF!</v>
      </c>
      <c r="J216" s="23" t="e">
        <f>_xlfn.XLOOKUP(E216,#REF!,#REF!)</f>
        <v>#REF!</v>
      </c>
      <c r="K216" s="24" t="e">
        <f>_xlfn.XLOOKUP(E216,#REF!,#REF!)</f>
        <v>#REF!</v>
      </c>
      <c r="L216" s="25" t="e">
        <f t="shared" si="50"/>
        <v>#REF!</v>
      </c>
      <c r="M216" s="24" t="e">
        <f>_xlfn.XLOOKUP(E216,#REF!,#REF!)</f>
        <v>#REF!</v>
      </c>
      <c r="N216" s="24" t="e">
        <f>_xlfn.XLOOKUP(E216,#REF!,#REF!)</f>
        <v>#REF!</v>
      </c>
      <c r="O216" s="26" t="e">
        <f t="shared" si="51"/>
        <v>#REF!</v>
      </c>
      <c r="P216" s="24" t="e">
        <f>_xlfn.XLOOKUP(E216,#REF!,#REF!)</f>
        <v>#REF!</v>
      </c>
      <c r="Q216" s="27"/>
      <c r="R216" s="27"/>
      <c r="S216" s="28"/>
      <c r="T216" s="24" t="e">
        <f>_xlfn.XLOOKUP(E216,#REF!,#REF!)</f>
        <v>#REF!</v>
      </c>
      <c r="X216" s="40"/>
    </row>
    <row r="217" spans="2:24" ht="20.25" hidden="1">
      <c r="B217" s="31">
        <v>35</v>
      </c>
      <c r="C217" s="39" t="e">
        <f>_xlfn.XLOOKUP(D:D,#REF!,#REF!)</f>
        <v>#REF!</v>
      </c>
      <c r="D217" s="32"/>
      <c r="E217" s="32"/>
      <c r="F217" s="38" t="e">
        <f>_xlfn.XLOOKUP(E217,#REF!,#REF!)</f>
        <v>#REF!</v>
      </c>
      <c r="G217" s="22" t="e">
        <f>_xlfn.XLOOKUP(E217,#REF!,#REF!)</f>
        <v>#REF!</v>
      </c>
      <c r="H217" s="22" t="e">
        <f>_xlfn.XLOOKUP(E217,#REF!,#REF!)</f>
        <v>#REF!</v>
      </c>
      <c r="I217" s="22" t="e">
        <f>_xlfn.XLOOKUP(E217,#REF!,#REF!)</f>
        <v>#REF!</v>
      </c>
      <c r="J217" s="23" t="e">
        <f>_xlfn.XLOOKUP(E217,#REF!,#REF!)</f>
        <v>#REF!</v>
      </c>
      <c r="K217" s="24" t="e">
        <f>_xlfn.XLOOKUP(E217,#REF!,#REF!)</f>
        <v>#REF!</v>
      </c>
      <c r="L217" s="25" t="e">
        <f t="shared" si="50"/>
        <v>#REF!</v>
      </c>
      <c r="M217" s="24" t="e">
        <f>_xlfn.XLOOKUP(E217,#REF!,#REF!)</f>
        <v>#REF!</v>
      </c>
      <c r="N217" s="24" t="e">
        <f>_xlfn.XLOOKUP(E217,#REF!,#REF!)</f>
        <v>#REF!</v>
      </c>
      <c r="O217" s="26" t="e">
        <f t="shared" si="51"/>
        <v>#REF!</v>
      </c>
      <c r="P217" s="24" t="e">
        <f>_xlfn.XLOOKUP(E217,#REF!,#REF!)</f>
        <v>#REF!</v>
      </c>
      <c r="Q217" s="27"/>
      <c r="R217" s="27"/>
      <c r="S217" s="28"/>
      <c r="T217" s="24" t="e">
        <f>_xlfn.XLOOKUP(E217,#REF!,#REF!)</f>
        <v>#REF!</v>
      </c>
      <c r="X217" s="40"/>
    </row>
    <row r="218" spans="2:24" ht="20.25" hidden="1">
      <c r="B218" s="31">
        <v>36</v>
      </c>
      <c r="C218" s="39" t="e">
        <f>_xlfn.XLOOKUP(D:D,#REF!,#REF!)</f>
        <v>#REF!</v>
      </c>
      <c r="D218" s="32"/>
      <c r="E218" s="32"/>
      <c r="F218" s="38" t="e">
        <f>_xlfn.XLOOKUP(E218,#REF!,#REF!)</f>
        <v>#REF!</v>
      </c>
      <c r="G218" s="22" t="e">
        <f>_xlfn.XLOOKUP(E218,#REF!,#REF!)</f>
        <v>#REF!</v>
      </c>
      <c r="H218" s="22" t="e">
        <f>_xlfn.XLOOKUP(E218,#REF!,#REF!)</f>
        <v>#REF!</v>
      </c>
      <c r="I218" s="22" t="e">
        <f>_xlfn.XLOOKUP(E218,#REF!,#REF!)</f>
        <v>#REF!</v>
      </c>
      <c r="J218" s="23" t="e">
        <f>_xlfn.XLOOKUP(E218,#REF!,#REF!)</f>
        <v>#REF!</v>
      </c>
      <c r="K218" s="24" t="e">
        <f>_xlfn.XLOOKUP(E218,#REF!,#REF!)</f>
        <v>#REF!</v>
      </c>
      <c r="L218" s="25" t="e">
        <f t="shared" si="50"/>
        <v>#REF!</v>
      </c>
      <c r="M218" s="24" t="e">
        <f>_xlfn.XLOOKUP(E218,#REF!,#REF!)</f>
        <v>#REF!</v>
      </c>
      <c r="N218" s="24" t="e">
        <f>_xlfn.XLOOKUP(E218,#REF!,#REF!)</f>
        <v>#REF!</v>
      </c>
      <c r="O218" s="26" t="e">
        <f t="shared" si="51"/>
        <v>#REF!</v>
      </c>
      <c r="P218" s="24" t="e">
        <f>_xlfn.XLOOKUP(E218,#REF!,#REF!)</f>
        <v>#REF!</v>
      </c>
      <c r="Q218" s="27"/>
      <c r="R218" s="27"/>
      <c r="S218" s="28"/>
      <c r="T218" s="24" t="e">
        <f>_xlfn.XLOOKUP(E218,#REF!,#REF!)</f>
        <v>#REF!</v>
      </c>
      <c r="X218" s="40"/>
    </row>
    <row r="219" spans="2:24" ht="20.25" hidden="1">
      <c r="B219" s="31">
        <v>37</v>
      </c>
      <c r="C219" s="39" t="e">
        <f>_xlfn.XLOOKUP(D:D,#REF!,#REF!)</f>
        <v>#REF!</v>
      </c>
      <c r="D219" s="32"/>
      <c r="E219" s="32"/>
      <c r="F219" s="38" t="e">
        <f>_xlfn.XLOOKUP(E219,#REF!,#REF!)</f>
        <v>#REF!</v>
      </c>
      <c r="G219" s="22" t="e">
        <f>_xlfn.XLOOKUP(E219,#REF!,#REF!)</f>
        <v>#REF!</v>
      </c>
      <c r="H219" s="22" t="e">
        <f>_xlfn.XLOOKUP(E219,#REF!,#REF!)</f>
        <v>#REF!</v>
      </c>
      <c r="I219" s="22" t="e">
        <f>_xlfn.XLOOKUP(E219,#REF!,#REF!)</f>
        <v>#REF!</v>
      </c>
      <c r="J219" s="23" t="e">
        <f>_xlfn.XLOOKUP(E219,#REF!,#REF!)</f>
        <v>#REF!</v>
      </c>
      <c r="K219" s="24" t="e">
        <f>_xlfn.XLOOKUP(E219,#REF!,#REF!)</f>
        <v>#REF!</v>
      </c>
      <c r="L219" s="25" t="e">
        <f t="shared" si="50"/>
        <v>#REF!</v>
      </c>
      <c r="M219" s="24" t="e">
        <f>_xlfn.XLOOKUP(E219,#REF!,#REF!)</f>
        <v>#REF!</v>
      </c>
      <c r="N219" s="24" t="e">
        <f>_xlfn.XLOOKUP(E219,#REF!,#REF!)</f>
        <v>#REF!</v>
      </c>
      <c r="O219" s="26" t="e">
        <f t="shared" si="51"/>
        <v>#REF!</v>
      </c>
      <c r="P219" s="24" t="e">
        <f>_xlfn.XLOOKUP(E219,#REF!,#REF!)</f>
        <v>#REF!</v>
      </c>
      <c r="Q219" s="27"/>
      <c r="R219" s="27"/>
      <c r="S219" s="28"/>
      <c r="T219" s="24" t="e">
        <f>_xlfn.XLOOKUP(E219,#REF!,#REF!)</f>
        <v>#REF!</v>
      </c>
      <c r="X219" s="40"/>
    </row>
    <row r="220" spans="2:24" ht="20.25" hidden="1">
      <c r="B220" s="31">
        <v>38</v>
      </c>
      <c r="C220" s="39" t="e">
        <f>_xlfn.XLOOKUP(D:D,#REF!,#REF!)</f>
        <v>#REF!</v>
      </c>
      <c r="D220" s="32"/>
      <c r="E220" s="32"/>
      <c r="F220" s="38" t="e">
        <f>_xlfn.XLOOKUP(E220,#REF!,#REF!)</f>
        <v>#REF!</v>
      </c>
      <c r="G220" s="22" t="e">
        <f>_xlfn.XLOOKUP(E220,#REF!,#REF!)</f>
        <v>#REF!</v>
      </c>
      <c r="H220" s="22" t="e">
        <f>_xlfn.XLOOKUP(E220,#REF!,#REF!)</f>
        <v>#REF!</v>
      </c>
      <c r="I220" s="22" t="e">
        <f>_xlfn.XLOOKUP(E220,#REF!,#REF!)</f>
        <v>#REF!</v>
      </c>
      <c r="J220" s="23" t="e">
        <f>_xlfn.XLOOKUP(E220,#REF!,#REF!)</f>
        <v>#REF!</v>
      </c>
      <c r="K220" s="24" t="e">
        <f>_xlfn.XLOOKUP(E220,#REF!,#REF!)</f>
        <v>#REF!</v>
      </c>
      <c r="L220" s="25" t="e">
        <f t="shared" si="50"/>
        <v>#REF!</v>
      </c>
      <c r="M220" s="24" t="e">
        <f>_xlfn.XLOOKUP(E220,#REF!,#REF!)</f>
        <v>#REF!</v>
      </c>
      <c r="N220" s="24" t="e">
        <f>_xlfn.XLOOKUP(E220,#REF!,#REF!)</f>
        <v>#REF!</v>
      </c>
      <c r="O220" s="26" t="e">
        <f t="shared" si="51"/>
        <v>#REF!</v>
      </c>
      <c r="P220" s="24" t="e">
        <f>_xlfn.XLOOKUP(E220,#REF!,#REF!)</f>
        <v>#REF!</v>
      </c>
      <c r="Q220" s="27"/>
      <c r="R220" s="27"/>
      <c r="S220" s="28"/>
      <c r="T220" s="24" t="e">
        <f>_xlfn.XLOOKUP(E220,#REF!,#REF!)</f>
        <v>#REF!</v>
      </c>
      <c r="X220" s="40"/>
    </row>
    <row r="221" spans="2:24" ht="20.25" hidden="1">
      <c r="B221" s="31">
        <v>39</v>
      </c>
      <c r="C221" s="39" t="e">
        <f>_xlfn.XLOOKUP(D:D,#REF!,#REF!)</f>
        <v>#REF!</v>
      </c>
      <c r="D221" s="32"/>
      <c r="E221" s="32"/>
      <c r="F221" s="38" t="e">
        <f>_xlfn.XLOOKUP(E221,#REF!,#REF!)</f>
        <v>#REF!</v>
      </c>
      <c r="G221" s="22" t="e">
        <f>_xlfn.XLOOKUP(E221,#REF!,#REF!)</f>
        <v>#REF!</v>
      </c>
      <c r="H221" s="22" t="e">
        <f>_xlfn.XLOOKUP(E221,#REF!,#REF!)</f>
        <v>#REF!</v>
      </c>
      <c r="I221" s="22" t="e">
        <f>_xlfn.XLOOKUP(E221,#REF!,#REF!)</f>
        <v>#REF!</v>
      </c>
      <c r="J221" s="23" t="e">
        <f>_xlfn.XLOOKUP(E221,#REF!,#REF!)</f>
        <v>#REF!</v>
      </c>
      <c r="K221" s="24" t="e">
        <f>_xlfn.XLOOKUP(E221,#REF!,#REF!)</f>
        <v>#REF!</v>
      </c>
      <c r="L221" s="25" t="e">
        <f t="shared" si="50"/>
        <v>#REF!</v>
      </c>
      <c r="M221" s="24" t="e">
        <f>_xlfn.XLOOKUP(E221,#REF!,#REF!)</f>
        <v>#REF!</v>
      </c>
      <c r="N221" s="24" t="e">
        <f>_xlfn.XLOOKUP(E221,#REF!,#REF!)</f>
        <v>#REF!</v>
      </c>
      <c r="O221" s="26" t="e">
        <f t="shared" si="51"/>
        <v>#REF!</v>
      </c>
      <c r="P221" s="24" t="e">
        <f>_xlfn.XLOOKUP(E221,#REF!,#REF!)</f>
        <v>#REF!</v>
      </c>
      <c r="Q221" s="27"/>
      <c r="R221" s="27"/>
      <c r="S221" s="28"/>
      <c r="T221" s="24" t="e">
        <f>_xlfn.XLOOKUP(E221,#REF!,#REF!)</f>
        <v>#REF!</v>
      </c>
      <c r="X221" s="40"/>
    </row>
    <row r="222" spans="2:24" ht="20.25" hidden="1">
      <c r="B222" s="31">
        <v>40</v>
      </c>
      <c r="C222" s="39" t="e">
        <f>_xlfn.XLOOKUP(D:D,#REF!,#REF!)</f>
        <v>#REF!</v>
      </c>
      <c r="D222" s="32"/>
      <c r="E222" s="32"/>
      <c r="F222" s="38" t="e">
        <f>_xlfn.XLOOKUP(E222,#REF!,#REF!)</f>
        <v>#REF!</v>
      </c>
      <c r="G222" s="22" t="e">
        <f>_xlfn.XLOOKUP(E222,#REF!,#REF!)</f>
        <v>#REF!</v>
      </c>
      <c r="H222" s="22" t="e">
        <f>_xlfn.XLOOKUP(E222,#REF!,#REF!)</f>
        <v>#REF!</v>
      </c>
      <c r="I222" s="22" t="e">
        <f>_xlfn.XLOOKUP(E222,#REF!,#REF!)</f>
        <v>#REF!</v>
      </c>
      <c r="J222" s="23" t="e">
        <f>_xlfn.XLOOKUP(E222,#REF!,#REF!)</f>
        <v>#REF!</v>
      </c>
      <c r="K222" s="24" t="e">
        <f>_xlfn.XLOOKUP(E222,#REF!,#REF!)</f>
        <v>#REF!</v>
      </c>
      <c r="L222" s="25" t="e">
        <f t="shared" si="50"/>
        <v>#REF!</v>
      </c>
      <c r="M222" s="24" t="e">
        <f>_xlfn.XLOOKUP(E222,#REF!,#REF!)</f>
        <v>#REF!</v>
      </c>
      <c r="N222" s="24" t="e">
        <f>_xlfn.XLOOKUP(E222,#REF!,#REF!)</f>
        <v>#REF!</v>
      </c>
      <c r="O222" s="26" t="e">
        <f t="shared" si="51"/>
        <v>#REF!</v>
      </c>
      <c r="P222" s="24" t="e">
        <f>_xlfn.XLOOKUP(E222,#REF!,#REF!)</f>
        <v>#REF!</v>
      </c>
      <c r="Q222" s="27"/>
      <c r="R222" s="27"/>
      <c r="S222" s="28"/>
      <c r="T222" s="24" t="e">
        <f>_xlfn.XLOOKUP(E222,#REF!,#REF!)</f>
        <v>#REF!</v>
      </c>
      <c r="X222" s="40"/>
    </row>
    <row r="223" spans="2:24" ht="20.25" hidden="1">
      <c r="B223" s="31">
        <v>41</v>
      </c>
      <c r="C223" s="39" t="e">
        <f>_xlfn.XLOOKUP(D:D,#REF!,#REF!)</f>
        <v>#REF!</v>
      </c>
      <c r="D223" s="32"/>
      <c r="E223" s="32"/>
      <c r="F223" s="38" t="e">
        <f>_xlfn.XLOOKUP(E223,#REF!,#REF!)</f>
        <v>#REF!</v>
      </c>
      <c r="G223" s="22" t="e">
        <f>_xlfn.XLOOKUP(E223,#REF!,#REF!)</f>
        <v>#REF!</v>
      </c>
      <c r="H223" s="22" t="e">
        <f>_xlfn.XLOOKUP(E223,#REF!,#REF!)</f>
        <v>#REF!</v>
      </c>
      <c r="I223" s="22" t="e">
        <f>_xlfn.XLOOKUP(E223,#REF!,#REF!)</f>
        <v>#REF!</v>
      </c>
      <c r="J223" s="23" t="e">
        <f>_xlfn.XLOOKUP(E223,#REF!,#REF!)</f>
        <v>#REF!</v>
      </c>
      <c r="K223" s="24" t="e">
        <f>_xlfn.XLOOKUP(E223,#REF!,#REF!)</f>
        <v>#REF!</v>
      </c>
      <c r="L223" s="25" t="e">
        <f t="shared" si="50"/>
        <v>#REF!</v>
      </c>
      <c r="M223" s="24" t="e">
        <f>_xlfn.XLOOKUP(E223,#REF!,#REF!)</f>
        <v>#REF!</v>
      </c>
      <c r="N223" s="24" t="e">
        <f>_xlfn.XLOOKUP(E223,#REF!,#REF!)</f>
        <v>#REF!</v>
      </c>
      <c r="O223" s="26" t="e">
        <f t="shared" si="51"/>
        <v>#REF!</v>
      </c>
      <c r="P223" s="24" t="e">
        <f>_xlfn.XLOOKUP(E223,#REF!,#REF!)</f>
        <v>#REF!</v>
      </c>
      <c r="Q223" s="27"/>
      <c r="R223" s="27"/>
      <c r="S223" s="28"/>
      <c r="T223" s="24" t="e">
        <f>_xlfn.XLOOKUP(E223,#REF!,#REF!)</f>
        <v>#REF!</v>
      </c>
      <c r="X223" s="40"/>
    </row>
    <row r="224" spans="2:24" ht="20.25" hidden="1">
      <c r="B224" s="31">
        <v>42</v>
      </c>
      <c r="C224" s="39" t="e">
        <f>_xlfn.XLOOKUP(D:D,#REF!,#REF!)</f>
        <v>#REF!</v>
      </c>
      <c r="D224" s="32"/>
      <c r="E224" s="32"/>
      <c r="F224" s="38" t="e">
        <f>_xlfn.XLOOKUP(E224,#REF!,#REF!)</f>
        <v>#REF!</v>
      </c>
      <c r="G224" s="22" t="e">
        <f>_xlfn.XLOOKUP(E224,#REF!,#REF!)</f>
        <v>#REF!</v>
      </c>
      <c r="H224" s="22" t="e">
        <f>_xlfn.XLOOKUP(E224,#REF!,#REF!)</f>
        <v>#REF!</v>
      </c>
      <c r="I224" s="22" t="e">
        <f>_xlfn.XLOOKUP(E224,#REF!,#REF!)</f>
        <v>#REF!</v>
      </c>
      <c r="J224" s="23" t="e">
        <f>_xlfn.XLOOKUP(E224,#REF!,#REF!)</f>
        <v>#REF!</v>
      </c>
      <c r="K224" s="24" t="e">
        <f>_xlfn.XLOOKUP(E224,#REF!,#REF!)</f>
        <v>#REF!</v>
      </c>
      <c r="L224" s="25" t="e">
        <f t="shared" si="50"/>
        <v>#REF!</v>
      </c>
      <c r="M224" s="24" t="e">
        <f>_xlfn.XLOOKUP(E224,#REF!,#REF!)</f>
        <v>#REF!</v>
      </c>
      <c r="N224" s="24" t="e">
        <f>_xlfn.XLOOKUP(E224,#REF!,#REF!)</f>
        <v>#REF!</v>
      </c>
      <c r="O224" s="26" t="e">
        <f t="shared" si="51"/>
        <v>#REF!</v>
      </c>
      <c r="P224" s="24" t="e">
        <f>_xlfn.XLOOKUP(E224,#REF!,#REF!)</f>
        <v>#REF!</v>
      </c>
      <c r="Q224" s="27"/>
      <c r="R224" s="27"/>
      <c r="S224" s="28"/>
      <c r="T224" s="24" t="e">
        <f>_xlfn.XLOOKUP(E224,#REF!,#REF!)</f>
        <v>#REF!</v>
      </c>
      <c r="X224" s="40"/>
    </row>
    <row r="225" spans="2:24" ht="20.25" hidden="1">
      <c r="B225" s="31">
        <v>43</v>
      </c>
      <c r="C225" s="39" t="e">
        <f>_xlfn.XLOOKUP(D:D,#REF!,#REF!)</f>
        <v>#REF!</v>
      </c>
      <c r="D225" s="32"/>
      <c r="E225" s="32"/>
      <c r="F225" s="38" t="e">
        <f>_xlfn.XLOOKUP(E225,#REF!,#REF!)</f>
        <v>#REF!</v>
      </c>
      <c r="G225" s="22" t="e">
        <f>_xlfn.XLOOKUP(E225,#REF!,#REF!)</f>
        <v>#REF!</v>
      </c>
      <c r="H225" s="22" t="e">
        <f>_xlfn.XLOOKUP(E225,#REF!,#REF!)</f>
        <v>#REF!</v>
      </c>
      <c r="I225" s="22" t="e">
        <f>_xlfn.XLOOKUP(E225,#REF!,#REF!)</f>
        <v>#REF!</v>
      </c>
      <c r="J225" s="23" t="e">
        <f>_xlfn.XLOOKUP(E225,#REF!,#REF!)</f>
        <v>#REF!</v>
      </c>
      <c r="K225" s="24" t="e">
        <f>_xlfn.XLOOKUP(E225,#REF!,#REF!)</f>
        <v>#REF!</v>
      </c>
      <c r="L225" s="25" t="e">
        <f t="shared" si="50"/>
        <v>#REF!</v>
      </c>
      <c r="M225" s="24" t="e">
        <f>_xlfn.XLOOKUP(E225,#REF!,#REF!)</f>
        <v>#REF!</v>
      </c>
      <c r="N225" s="24" t="e">
        <f>_xlfn.XLOOKUP(E225,#REF!,#REF!)</f>
        <v>#REF!</v>
      </c>
      <c r="O225" s="26" t="e">
        <f t="shared" si="51"/>
        <v>#REF!</v>
      </c>
      <c r="P225" s="24" t="e">
        <f>_xlfn.XLOOKUP(E225,#REF!,#REF!)</f>
        <v>#REF!</v>
      </c>
      <c r="Q225" s="27"/>
      <c r="R225" s="27"/>
      <c r="S225" s="28"/>
      <c r="T225" s="24" t="e">
        <f>_xlfn.XLOOKUP(E225,#REF!,#REF!)</f>
        <v>#REF!</v>
      </c>
      <c r="X225" s="40"/>
    </row>
    <row r="226" spans="2:24" ht="20.25" hidden="1">
      <c r="B226" s="31">
        <v>44</v>
      </c>
      <c r="C226" s="39" t="e">
        <f>_xlfn.XLOOKUP(D:D,#REF!,#REF!)</f>
        <v>#REF!</v>
      </c>
      <c r="D226" s="32"/>
      <c r="E226" s="32"/>
      <c r="F226" s="38" t="e">
        <f>_xlfn.XLOOKUP(E226,#REF!,#REF!)</f>
        <v>#REF!</v>
      </c>
      <c r="G226" s="22" t="e">
        <f>_xlfn.XLOOKUP(E226,#REF!,#REF!)</f>
        <v>#REF!</v>
      </c>
      <c r="H226" s="22" t="e">
        <f>_xlfn.XLOOKUP(E226,#REF!,#REF!)</f>
        <v>#REF!</v>
      </c>
      <c r="I226" s="22" t="e">
        <f>_xlfn.XLOOKUP(E226,#REF!,#REF!)</f>
        <v>#REF!</v>
      </c>
      <c r="J226" s="23" t="e">
        <f>_xlfn.XLOOKUP(E226,#REF!,#REF!)</f>
        <v>#REF!</v>
      </c>
      <c r="K226" s="24" t="e">
        <f>_xlfn.XLOOKUP(E226,#REF!,#REF!)</f>
        <v>#REF!</v>
      </c>
      <c r="L226" s="25" t="e">
        <f t="shared" si="50"/>
        <v>#REF!</v>
      </c>
      <c r="M226" s="24" t="e">
        <f>_xlfn.XLOOKUP(E226,#REF!,#REF!)</f>
        <v>#REF!</v>
      </c>
      <c r="N226" s="24" t="e">
        <f>_xlfn.XLOOKUP(E226,#REF!,#REF!)</f>
        <v>#REF!</v>
      </c>
      <c r="O226" s="26" t="e">
        <f t="shared" si="51"/>
        <v>#REF!</v>
      </c>
      <c r="P226" s="24" t="e">
        <f>_xlfn.XLOOKUP(E226,#REF!,#REF!)</f>
        <v>#REF!</v>
      </c>
      <c r="Q226" s="27"/>
      <c r="R226" s="27"/>
      <c r="S226" s="28"/>
      <c r="T226" s="24" t="e">
        <f>_xlfn.XLOOKUP(E226,#REF!,#REF!)</f>
        <v>#REF!</v>
      </c>
      <c r="X226" s="40"/>
    </row>
    <row r="227" spans="2:24" ht="20.25" hidden="1">
      <c r="B227" s="31">
        <v>45</v>
      </c>
      <c r="C227" s="39" t="e">
        <f>_xlfn.XLOOKUP(D:D,#REF!,#REF!)</f>
        <v>#REF!</v>
      </c>
      <c r="D227" s="32"/>
      <c r="E227" s="32"/>
      <c r="F227" s="38" t="e">
        <f>_xlfn.XLOOKUP(E227,#REF!,#REF!)</f>
        <v>#REF!</v>
      </c>
      <c r="G227" s="22" t="e">
        <f>_xlfn.XLOOKUP(E227,#REF!,#REF!)</f>
        <v>#REF!</v>
      </c>
      <c r="H227" s="22" t="e">
        <f>_xlfn.XLOOKUP(E227,#REF!,#REF!)</f>
        <v>#REF!</v>
      </c>
      <c r="I227" s="22" t="e">
        <f>_xlfn.XLOOKUP(E227,#REF!,#REF!)</f>
        <v>#REF!</v>
      </c>
      <c r="J227" s="23" t="e">
        <f>_xlfn.XLOOKUP(E227,#REF!,#REF!)</f>
        <v>#REF!</v>
      </c>
      <c r="K227" s="24" t="e">
        <f>_xlfn.XLOOKUP(E227,#REF!,#REF!)</f>
        <v>#REF!</v>
      </c>
      <c r="L227" s="25" t="e">
        <f t="shared" si="50"/>
        <v>#REF!</v>
      </c>
      <c r="M227" s="24" t="e">
        <f>_xlfn.XLOOKUP(E227,#REF!,#REF!)</f>
        <v>#REF!</v>
      </c>
      <c r="N227" s="24" t="e">
        <f>_xlfn.XLOOKUP(E227,#REF!,#REF!)</f>
        <v>#REF!</v>
      </c>
      <c r="O227" s="26" t="e">
        <f t="shared" si="51"/>
        <v>#REF!</v>
      </c>
      <c r="P227" s="24" t="e">
        <f>_xlfn.XLOOKUP(E227,#REF!,#REF!)</f>
        <v>#REF!</v>
      </c>
      <c r="Q227" s="27"/>
      <c r="R227" s="27"/>
      <c r="S227" s="28"/>
      <c r="T227" s="24" t="e">
        <f>_xlfn.XLOOKUP(E227,#REF!,#REF!)</f>
        <v>#REF!</v>
      </c>
      <c r="X227" s="40"/>
    </row>
    <row r="228" spans="2:24" ht="20.25" hidden="1">
      <c r="B228" s="31">
        <v>46</v>
      </c>
      <c r="C228" s="39" t="e">
        <f>_xlfn.XLOOKUP(D:D,#REF!,#REF!)</f>
        <v>#REF!</v>
      </c>
      <c r="D228" s="32"/>
      <c r="E228" s="32"/>
      <c r="F228" s="38" t="e">
        <f>_xlfn.XLOOKUP(E228,#REF!,#REF!)</f>
        <v>#REF!</v>
      </c>
      <c r="G228" s="22" t="e">
        <f>_xlfn.XLOOKUP(E228,#REF!,#REF!)</f>
        <v>#REF!</v>
      </c>
      <c r="H228" s="22" t="e">
        <f>_xlfn.XLOOKUP(E228,#REF!,#REF!)</f>
        <v>#REF!</v>
      </c>
      <c r="I228" s="22" t="e">
        <f>_xlfn.XLOOKUP(E228,#REF!,#REF!)</f>
        <v>#REF!</v>
      </c>
      <c r="J228" s="23" t="e">
        <f>_xlfn.XLOOKUP(E228,#REF!,#REF!)</f>
        <v>#REF!</v>
      </c>
      <c r="K228" s="24" t="e">
        <f>_xlfn.XLOOKUP(E228,#REF!,#REF!)</f>
        <v>#REF!</v>
      </c>
      <c r="L228" s="25" t="e">
        <f t="shared" si="50"/>
        <v>#REF!</v>
      </c>
      <c r="M228" s="24" t="e">
        <f>_xlfn.XLOOKUP(E228,#REF!,#REF!)</f>
        <v>#REF!</v>
      </c>
      <c r="N228" s="24" t="e">
        <f>_xlfn.XLOOKUP(E228,#REF!,#REF!)</f>
        <v>#REF!</v>
      </c>
      <c r="O228" s="26" t="e">
        <f t="shared" si="51"/>
        <v>#REF!</v>
      </c>
      <c r="P228" s="24" t="e">
        <f>_xlfn.XLOOKUP(E228,#REF!,#REF!)</f>
        <v>#REF!</v>
      </c>
      <c r="Q228" s="27"/>
      <c r="R228" s="27"/>
      <c r="S228" s="28"/>
      <c r="T228" s="24" t="e">
        <f>_xlfn.XLOOKUP(E228,#REF!,#REF!)</f>
        <v>#REF!</v>
      </c>
      <c r="X228" s="40"/>
    </row>
    <row r="229" spans="2:24" ht="20.25" hidden="1">
      <c r="B229" s="31">
        <v>47</v>
      </c>
      <c r="C229" s="39" t="e">
        <f>_xlfn.XLOOKUP(D:D,#REF!,#REF!)</f>
        <v>#REF!</v>
      </c>
      <c r="D229" s="32"/>
      <c r="E229" s="32"/>
      <c r="F229" s="38" t="e">
        <f>_xlfn.XLOOKUP(E229,#REF!,#REF!)</f>
        <v>#REF!</v>
      </c>
      <c r="G229" s="22" t="e">
        <f>_xlfn.XLOOKUP(E229,#REF!,#REF!)</f>
        <v>#REF!</v>
      </c>
      <c r="H229" s="22" t="e">
        <f>_xlfn.XLOOKUP(E229,#REF!,#REF!)</f>
        <v>#REF!</v>
      </c>
      <c r="I229" s="22" t="e">
        <f>_xlfn.XLOOKUP(E229,#REF!,#REF!)</f>
        <v>#REF!</v>
      </c>
      <c r="J229" s="23" t="e">
        <f>_xlfn.XLOOKUP(E229,#REF!,#REF!)</f>
        <v>#REF!</v>
      </c>
      <c r="K229" s="24" t="e">
        <f>_xlfn.XLOOKUP(E229,#REF!,#REF!)</f>
        <v>#REF!</v>
      </c>
      <c r="L229" s="25" t="e">
        <f t="shared" si="50"/>
        <v>#REF!</v>
      </c>
      <c r="M229" s="24" t="e">
        <f>_xlfn.XLOOKUP(E229,#REF!,#REF!)</f>
        <v>#REF!</v>
      </c>
      <c r="N229" s="24" t="e">
        <f>_xlfn.XLOOKUP(E229,#REF!,#REF!)</f>
        <v>#REF!</v>
      </c>
      <c r="O229" s="26" t="e">
        <f t="shared" si="51"/>
        <v>#REF!</v>
      </c>
      <c r="P229" s="24" t="e">
        <f>_xlfn.XLOOKUP(E229,#REF!,#REF!)</f>
        <v>#REF!</v>
      </c>
      <c r="Q229" s="27"/>
      <c r="R229" s="27"/>
      <c r="S229" s="28"/>
      <c r="T229" s="24" t="e">
        <f>_xlfn.XLOOKUP(E229,#REF!,#REF!)</f>
        <v>#REF!</v>
      </c>
      <c r="X229" s="40"/>
    </row>
    <row r="230" spans="2:24" ht="20.25" hidden="1">
      <c r="B230" s="39"/>
      <c r="C230" s="41"/>
      <c r="D230" s="42"/>
      <c r="E230" s="42"/>
      <c r="F230" s="43"/>
      <c r="G230" s="43"/>
      <c r="H230" s="43"/>
      <c r="I230" s="43"/>
      <c r="J230" s="44"/>
      <c r="K230" s="45"/>
      <c r="L230" s="46"/>
      <c r="M230" s="45"/>
      <c r="N230" s="47"/>
      <c r="O230" s="26"/>
      <c r="P230" s="24"/>
      <c r="Q230" s="27"/>
      <c r="R230" s="27"/>
      <c r="S230" s="28"/>
      <c r="T230" s="24"/>
      <c r="X230" s="40"/>
    </row>
    <row r="231" spans="2:24" ht="20.25" hidden="1">
      <c r="B231" s="39"/>
      <c r="C231" s="41"/>
      <c r="D231" s="42"/>
      <c r="E231" s="42"/>
      <c r="F231" s="43"/>
      <c r="G231" s="43"/>
      <c r="H231" s="43"/>
      <c r="I231" s="43"/>
      <c r="J231" s="44"/>
      <c r="K231" s="45"/>
      <c r="L231" s="46"/>
      <c r="M231" s="45"/>
      <c r="N231" s="47"/>
      <c r="O231" s="26"/>
      <c r="P231" s="24"/>
      <c r="Q231" s="27"/>
      <c r="R231" s="27"/>
      <c r="S231" s="28"/>
      <c r="T231" s="24"/>
      <c r="X231" s="40"/>
    </row>
    <row r="232" spans="2:24" ht="20.25" hidden="1">
      <c r="B232" s="39"/>
      <c r="C232" s="41"/>
      <c r="D232" s="42"/>
      <c r="E232" s="42"/>
      <c r="F232" s="43"/>
      <c r="G232" s="43"/>
      <c r="H232" s="43"/>
      <c r="I232" s="43"/>
      <c r="J232" s="44"/>
      <c r="K232" s="45"/>
      <c r="L232" s="46"/>
      <c r="M232" s="45"/>
      <c r="N232" s="47"/>
      <c r="O232" s="26"/>
      <c r="P232" s="24"/>
      <c r="Q232" s="27"/>
      <c r="R232" s="27"/>
      <c r="S232" s="28"/>
      <c r="T232" s="24"/>
      <c r="X232" s="40"/>
    </row>
    <row r="233" spans="2:24" ht="20.25" hidden="1">
      <c r="B233" s="39"/>
      <c r="C233" s="41"/>
      <c r="D233" s="42"/>
      <c r="E233" s="42"/>
      <c r="F233" s="43"/>
      <c r="G233" s="43"/>
      <c r="H233" s="43"/>
      <c r="I233" s="43"/>
      <c r="J233" s="44"/>
      <c r="K233" s="45"/>
      <c r="L233" s="46"/>
      <c r="M233" s="45"/>
      <c r="N233" s="47"/>
      <c r="O233" s="26"/>
      <c r="P233" s="24"/>
      <c r="Q233" s="27"/>
      <c r="R233" s="27"/>
      <c r="S233" s="28"/>
      <c r="T233" s="24"/>
      <c r="X233" s="40"/>
    </row>
    <row r="234" spans="2:24" ht="20.25" hidden="1">
      <c r="B234" s="39"/>
      <c r="C234" s="41"/>
      <c r="D234" s="42"/>
      <c r="E234" s="42"/>
      <c r="F234" s="43"/>
      <c r="G234" s="43"/>
      <c r="H234" s="43"/>
      <c r="I234" s="43"/>
      <c r="J234" s="44"/>
      <c r="K234" s="45"/>
      <c r="L234" s="46"/>
      <c r="M234" s="45"/>
      <c r="N234" s="47"/>
      <c r="O234" s="26"/>
      <c r="P234" s="24"/>
      <c r="Q234" s="27"/>
      <c r="R234" s="27"/>
      <c r="S234" s="28"/>
      <c r="T234" s="24"/>
      <c r="X234" s="40"/>
    </row>
    <row r="235" spans="2:24" ht="20.25" hidden="1">
      <c r="B235" s="39"/>
      <c r="C235" s="41"/>
      <c r="D235" s="42"/>
      <c r="E235" s="42"/>
      <c r="F235" s="43"/>
      <c r="G235" s="43"/>
      <c r="H235" s="43"/>
      <c r="I235" s="43"/>
      <c r="J235" s="44"/>
      <c r="K235" s="45"/>
      <c r="L235" s="46"/>
      <c r="M235" s="45"/>
      <c r="N235" s="47"/>
      <c r="O235" s="26"/>
      <c r="P235" s="24"/>
      <c r="Q235" s="27"/>
      <c r="R235" s="27"/>
      <c r="S235" s="28"/>
      <c r="T235" s="24"/>
      <c r="X235" s="40"/>
    </row>
    <row r="236" spans="2:24" ht="20.25" hidden="1">
      <c r="B236" s="39"/>
      <c r="C236" s="41"/>
      <c r="D236" s="42"/>
      <c r="E236" s="42"/>
      <c r="F236" s="43"/>
      <c r="G236" s="43"/>
      <c r="H236" s="43"/>
      <c r="I236" s="43"/>
      <c r="J236" s="44"/>
      <c r="K236" s="45"/>
      <c r="L236" s="46"/>
      <c r="M236" s="45"/>
      <c r="N236" s="47"/>
      <c r="O236" s="26"/>
      <c r="P236" s="24"/>
      <c r="Q236" s="27"/>
      <c r="R236" s="27"/>
      <c r="S236" s="28"/>
      <c r="T236" s="24"/>
      <c r="X236" s="40"/>
    </row>
    <row r="237" spans="2:24" ht="20.25" hidden="1">
      <c r="B237" s="39"/>
      <c r="C237" s="41"/>
      <c r="D237" s="42"/>
      <c r="E237" s="42"/>
      <c r="F237" s="43"/>
      <c r="G237" s="43"/>
      <c r="H237" s="43"/>
      <c r="I237" s="43"/>
      <c r="J237" s="44"/>
      <c r="K237" s="45"/>
      <c r="L237" s="46"/>
      <c r="M237" s="45"/>
      <c r="N237" s="47"/>
      <c r="O237" s="26"/>
      <c r="P237" s="24"/>
      <c r="Q237" s="27"/>
      <c r="R237" s="27"/>
      <c r="S237" s="28"/>
      <c r="T237" s="24"/>
      <c r="X237" s="40"/>
    </row>
    <row r="238" spans="2:24" ht="20.25" hidden="1">
      <c r="B238" s="39"/>
      <c r="C238" s="41"/>
      <c r="D238" s="42"/>
      <c r="E238" s="42"/>
      <c r="F238" s="43"/>
      <c r="G238" s="43"/>
      <c r="H238" s="43"/>
      <c r="I238" s="43"/>
      <c r="J238" s="44"/>
      <c r="K238" s="45"/>
      <c r="L238" s="46"/>
      <c r="M238" s="45"/>
      <c r="N238" s="47"/>
      <c r="O238" s="26"/>
      <c r="P238" s="24"/>
      <c r="Q238" s="27"/>
      <c r="R238" s="27"/>
      <c r="S238" s="28"/>
      <c r="T238" s="24"/>
      <c r="X238" s="40"/>
    </row>
    <row r="239" spans="2:24" ht="38.1" customHeight="1">
      <c r="B239" s="72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4"/>
      <c r="O239" s="48" t="s">
        <v>39</v>
      </c>
      <c r="P239" s="49">
        <f>Q239+R239+S239</f>
        <v>0</v>
      </c>
      <c r="Q239" s="50">
        <f>COUNTIF(P5:Q228,"卸完货 ลงเสร็จ")</f>
        <v>0</v>
      </c>
      <c r="R239" s="51">
        <f>COUNTIF(Q3:R222,"等卸货 รอลงพัสดุ")</f>
        <v>0</v>
      </c>
      <c r="S239" s="52">
        <f>COUNTIF(Q3:R229,"正在卸货 กำลังลงพัสดุ")</f>
        <v>0</v>
      </c>
      <c r="T239" s="52">
        <f>COUNTIF(Q3:R229,"在途 รถยังไม่ถึง")</f>
        <v>0</v>
      </c>
    </row>
    <row r="240" spans="2:24" ht="42.95" customHeight="1">
      <c r="B240" s="75" t="s">
        <v>40</v>
      </c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7"/>
      <c r="O240" s="53" t="s">
        <v>41</v>
      </c>
      <c r="P240" s="54">
        <f>Q239+R239+S239+T239</f>
        <v>0</v>
      </c>
      <c r="Q240" s="55" t="s">
        <v>60</v>
      </c>
      <c r="R240" s="56" t="s">
        <v>61</v>
      </c>
      <c r="S240" s="55" t="s">
        <v>34</v>
      </c>
      <c r="T240" s="57" t="s">
        <v>35</v>
      </c>
    </row>
  </sheetData>
  <autoFilter ref="B2:T240" xr:uid="{00000000-0009-0000-0000-000000000000}"/>
  <mergeCells count="15">
    <mergeCell ref="B239:N239"/>
    <mergeCell ref="B240:N240"/>
    <mergeCell ref="J181:J182"/>
    <mergeCell ref="K3:K4"/>
    <mergeCell ref="K181:K182"/>
    <mergeCell ref="L3:L4"/>
    <mergeCell ref="L181:L182"/>
    <mergeCell ref="T3:T4"/>
    <mergeCell ref="T181:T182"/>
    <mergeCell ref="B2:D2"/>
    <mergeCell ref="E2:S2"/>
    <mergeCell ref="B180:Q180"/>
    <mergeCell ref="O3:O4"/>
    <mergeCell ref="O181:O182"/>
    <mergeCell ref="S3:S4"/>
  </mergeCells>
  <conditionalFormatting sqref="Q3">
    <cfRule type="containsText" dxfId="221" priority="46976" operator="containsText" text="正在卸货 กำลังลงพัสดุ">
      <formula>NOT(ISERROR(SEARCH("正在卸货 กำลังลงพัสดุ",Q3)))</formula>
    </cfRule>
    <cfRule type="containsText" dxfId="220" priority="46977" operator="containsText" text="等卸货 รอลงพัสดุ">
      <formula>NOT(ISERROR(SEARCH("等卸货 รอลงพัสดุ",Q3)))</formula>
    </cfRule>
    <cfRule type="containsText" dxfId="219" priority="46978" operator="containsText" text="卸完货 ลงเสร็จ">
      <formula>NOT(ISERROR(SEARCH("卸完货 ลงเสร็จ",Q3)))</formula>
    </cfRule>
  </conditionalFormatting>
  <conditionalFormatting sqref="Q181">
    <cfRule type="containsText" dxfId="218" priority="46973" operator="containsText" text="正在卸货 กำลังลงพัสดุ">
      <formula>NOT(ISERROR(SEARCH("正在卸货 กำลังลงพัสดุ",Q181)))</formula>
    </cfRule>
    <cfRule type="containsText" dxfId="217" priority="46974" operator="containsText" text="等卸货 รอลงพัสดุ">
      <formula>NOT(ISERROR(SEARCH("等卸货 รอลงพัสดุ",Q181)))</formula>
    </cfRule>
    <cfRule type="containsText" dxfId="216" priority="46975" operator="containsText" text="卸完货 ลงเสร็จ">
      <formula>NOT(ISERROR(SEARCH("卸完货 ลงเสร็จ",Q181)))</formula>
    </cfRule>
  </conditionalFormatting>
  <conditionalFormatting sqref="Q182">
    <cfRule type="containsText" dxfId="215" priority="46979" operator="containsText" text="正在卸货 กำลังลงพัสดุ">
      <formula>NOT(ISERROR(SEARCH("正在卸货 กำลังลงพัสดุ",Q182)))</formula>
    </cfRule>
    <cfRule type="containsText" dxfId="214" priority="46980" operator="containsText" text="等卸货 รอลงพัสดุ">
      <formula>NOT(ISERROR(SEARCH("等卸货 รอลงพัสดุ",Q182)))</formula>
    </cfRule>
    <cfRule type="containsText" dxfId="213" priority="46981" operator="containsText" text="卸完货 ลงเสร็จ">
      <formula>NOT(ISERROR(SEARCH("卸完货 ลงเสร็จ",Q182)))</formula>
    </cfRule>
  </conditionalFormatting>
  <conditionalFormatting sqref="R185">
    <cfRule type="containsText" dxfId="212" priority="4222" operator="containsText" text="在途 รถยังไม่ถึง">
      <formula>NOT(ISERROR(SEARCH("在途 รถยังไม่ถึง",R185)))</formula>
    </cfRule>
    <cfRule type="containsText" dxfId="211" priority="4248" operator="containsText" text="รถยังไม่ถูกปล่อย">
      <formula>NOT(ISERROR(SEARCH("รถยังไม่ถูกปล่อย",R185)))</formula>
    </cfRule>
    <cfRule type="containsText" dxfId="210" priority="4274" operator="containsText" text="正在卸货 กำลังลงพัสดุ">
      <formula>NOT(ISERROR(SEARCH("正在卸货 กำลังลงพัสดุ",R185)))</formula>
    </cfRule>
    <cfRule type="containsText" dxfId="209" priority="4300" operator="containsText" text="等卸货 รอลงพัสดุ">
      <formula>NOT(ISERROR(SEARCH("等卸货 รอลงพัสดุ",R185)))</formula>
    </cfRule>
    <cfRule type="containsText" dxfId="208" priority="4326" operator="containsText" text="卸完货 ลงเสร็จ">
      <formula>NOT(ISERROR(SEARCH("卸完货 ลงเสร็จ",R185)))</formula>
    </cfRule>
  </conditionalFormatting>
  <conditionalFormatting sqref="R186">
    <cfRule type="containsText" dxfId="207" priority="2966" operator="containsText" text="在途 รถยังไม่ถึง">
      <formula>NOT(ISERROR(SEARCH("在途 รถยังไม่ถึง",R186)))</formula>
    </cfRule>
    <cfRule type="containsText" dxfId="206" priority="2967" operator="containsText" text="รถยังไม่ถูกปล่อย">
      <formula>NOT(ISERROR(SEARCH("รถยังไม่ถูกปล่อย",R186)))</formula>
    </cfRule>
    <cfRule type="containsText" dxfId="205" priority="2968" operator="containsText" text="正在卸货 กำลังลงพัสดุ">
      <formula>NOT(ISERROR(SEARCH("正在卸货 กำลังลงพัสดุ",R186)))</formula>
    </cfRule>
    <cfRule type="containsText" dxfId="204" priority="2969" operator="containsText" text="等卸货 รอลงพัสดุ">
      <formula>NOT(ISERROR(SEARCH("等卸货 รอลงพัสดุ",R186)))</formula>
    </cfRule>
    <cfRule type="containsText" dxfId="203" priority="2970" operator="containsText" text="卸完货 ลงเสร็จ">
      <formula>NOT(ISERROR(SEARCH("卸完货 ลงเสร็จ",R186)))</formula>
    </cfRule>
  </conditionalFormatting>
  <conditionalFormatting sqref="R187">
    <cfRule type="containsText" dxfId="202" priority="2791" operator="containsText" text="在途 รถยังไม่ถึง">
      <formula>NOT(ISERROR(SEARCH("在途 รถยังไม่ถึง",R187)))</formula>
    </cfRule>
    <cfRule type="containsText" dxfId="201" priority="2792" operator="containsText" text="รถยังไม่ถูกปล่อย">
      <formula>NOT(ISERROR(SEARCH("รถยังไม่ถูกปล่อย",R187)))</formula>
    </cfRule>
    <cfRule type="containsText" dxfId="200" priority="2793" operator="containsText" text="正在卸货 กำลังลงพัสดุ">
      <formula>NOT(ISERROR(SEARCH("正在卸货 กำลังลงพัสดุ",R187)))</formula>
    </cfRule>
    <cfRule type="containsText" dxfId="199" priority="2794" operator="containsText" text="等卸货 รอลงพัสดุ">
      <formula>NOT(ISERROR(SEARCH("等卸货 รอลงพัสดุ",R187)))</formula>
    </cfRule>
    <cfRule type="containsText" dxfId="198" priority="2795" operator="containsText" text="卸完货 ลงเสร็จ">
      <formula>NOT(ISERROR(SEARCH("卸完货 ลงเสร็จ",R187)))</formula>
    </cfRule>
  </conditionalFormatting>
  <conditionalFormatting sqref="R188">
    <cfRule type="containsText" dxfId="197" priority="1959" operator="containsText" text="在途 รถยังไม่ถึง">
      <formula>NOT(ISERROR(SEARCH("在途 รถยังไม่ถึง",R188)))</formula>
    </cfRule>
    <cfRule type="containsText" dxfId="196" priority="1960" operator="containsText" text="รถยังไม่ถูกปล่อย">
      <formula>NOT(ISERROR(SEARCH("รถยังไม่ถูกปล่อย",R188)))</formula>
    </cfRule>
    <cfRule type="containsText" dxfId="195" priority="1961" operator="containsText" text="正在卸货 กำลังลงพัสดุ">
      <formula>NOT(ISERROR(SEARCH("正在卸货 กำลังลงพัสดุ",R188)))</formula>
    </cfRule>
    <cfRule type="containsText" dxfId="194" priority="1962" operator="containsText" text="等卸货 รอลงพัสดุ">
      <formula>NOT(ISERROR(SEARCH("等卸货 รอลงพัสดุ",R188)))</formula>
    </cfRule>
    <cfRule type="containsText" dxfId="193" priority="1963" operator="containsText" text="卸完货 ลงเสร็จ">
      <formula>NOT(ISERROR(SEARCH("卸完货 ลงเสร็จ",R188)))</formula>
    </cfRule>
  </conditionalFormatting>
  <conditionalFormatting sqref="R189">
    <cfRule type="containsText" dxfId="192" priority="4218" operator="containsText" text="在途 รถยังไม่ถึง">
      <formula>NOT(ISERROR(SEARCH("在途 รถยังไม่ถึง",R189)))</formula>
    </cfRule>
    <cfRule type="containsText" dxfId="191" priority="4244" operator="containsText" text="รถยังไม่ถูกปล่อย">
      <formula>NOT(ISERROR(SEARCH("รถยังไม่ถูกปล่อย",R189)))</formula>
    </cfRule>
    <cfRule type="containsText" dxfId="190" priority="4270" operator="containsText" text="正在卸货 กำลังลงพัสดุ">
      <formula>NOT(ISERROR(SEARCH("正在卸货 กำลังลงพัสดุ",R189)))</formula>
    </cfRule>
    <cfRule type="containsText" dxfId="189" priority="4296" operator="containsText" text="等卸货 รอลงพัสดุ">
      <formula>NOT(ISERROR(SEARCH("等卸货 รอลงพัสดุ",R189)))</formula>
    </cfRule>
    <cfRule type="containsText" dxfId="188" priority="4322" operator="containsText" text="卸完货 ลงเสร็จ">
      <formula>NOT(ISERROR(SEARCH("卸完货 ลงเสร็จ",R189)))</formula>
    </cfRule>
  </conditionalFormatting>
  <conditionalFormatting sqref="R193">
    <cfRule type="containsText" dxfId="187" priority="4214" operator="containsText" text="在途 รถยังไม่ถึง">
      <formula>NOT(ISERROR(SEARCH("在途 รถยังไม่ถึง",R193)))</formula>
    </cfRule>
    <cfRule type="containsText" dxfId="186" priority="4240" operator="containsText" text="รถยังไม่ถูกปล่อย">
      <formula>NOT(ISERROR(SEARCH("รถยังไม่ถูกปล่อย",R193)))</formula>
    </cfRule>
    <cfRule type="containsText" dxfId="185" priority="4266" operator="containsText" text="正在卸货 กำลังลงพัสดุ">
      <formula>NOT(ISERROR(SEARCH("正在卸货 กำลังลงพัสดุ",R193)))</formula>
    </cfRule>
    <cfRule type="containsText" dxfId="184" priority="4292" operator="containsText" text="等卸货 รอลงพัสดุ">
      <formula>NOT(ISERROR(SEARCH("等卸货 รอลงพัสดุ",R193)))</formula>
    </cfRule>
    <cfRule type="containsText" dxfId="183" priority="4318" operator="containsText" text="卸完货 ลงเสร็จ">
      <formula>NOT(ISERROR(SEARCH("卸完货 ลงเสร็จ",R193)))</formula>
    </cfRule>
  </conditionalFormatting>
  <conditionalFormatting sqref="R198">
    <cfRule type="containsText" dxfId="182" priority="156" operator="containsText" text="在途 รถยังไม่ถึง">
      <formula>NOT(ISERROR(SEARCH("在途 รถยังไม่ถึง",R198)))</formula>
    </cfRule>
    <cfRule type="containsText" dxfId="181" priority="157" operator="containsText" text="รถยังไม่ถูกปล่อย">
      <formula>NOT(ISERROR(SEARCH("รถยังไม่ถูกปล่อย",R198)))</formula>
    </cfRule>
    <cfRule type="containsText" dxfId="180" priority="158" operator="containsText" text="正在卸货 กำลังลงพัสดุ">
      <formula>NOT(ISERROR(SEARCH("正在卸货 กำลังลงพัสดุ",R198)))</formula>
    </cfRule>
    <cfRule type="containsText" dxfId="179" priority="159" operator="containsText" text="等卸货 รอลงพัสดุ">
      <formula>NOT(ISERROR(SEARCH("等卸货 รอลงพัสดุ",R198)))</formula>
    </cfRule>
    <cfRule type="containsText" dxfId="178" priority="160" operator="containsText" text="卸完货 ลงเสร็จ">
      <formula>NOT(ISERROR(SEARCH("卸完货 ลงเสร็จ",R198)))</formula>
    </cfRule>
  </conditionalFormatting>
  <conditionalFormatting sqref="R199">
    <cfRule type="containsText" dxfId="177" priority="4208" operator="containsText" text="在途 รถยังไม่ถึง">
      <formula>NOT(ISERROR(SEARCH("在途 รถยังไม่ถึง",R199)))</formula>
    </cfRule>
    <cfRule type="containsText" dxfId="176" priority="4234" operator="containsText" text="รถยังไม่ถูกปล่อย">
      <formula>NOT(ISERROR(SEARCH("รถยังไม่ถูกปล่อย",R199)))</formula>
    </cfRule>
    <cfRule type="containsText" dxfId="175" priority="4260" operator="containsText" text="正在卸货 กำลังลงพัสดุ">
      <formula>NOT(ISERROR(SEARCH("正在卸货 กำลังลงพัสดุ",R199)))</formula>
    </cfRule>
    <cfRule type="containsText" dxfId="174" priority="4286" operator="containsText" text="等卸货 รอลงพัสดุ">
      <formula>NOT(ISERROR(SEARCH("等卸货 รอลงพัสดุ",R199)))</formula>
    </cfRule>
    <cfRule type="containsText" dxfId="173" priority="4312" operator="containsText" text="卸完货 ลงเสร็จ">
      <formula>NOT(ISERROR(SEARCH("卸完货 ลงเสร็จ",R199)))</formula>
    </cfRule>
  </conditionalFormatting>
  <conditionalFormatting sqref="R200">
    <cfRule type="containsText" dxfId="172" priority="4207" operator="containsText" text="在途 รถยังไม่ถึง">
      <formula>NOT(ISERROR(SEARCH("在途 รถยังไม่ถึง",R200)))</formula>
    </cfRule>
    <cfRule type="containsText" dxfId="171" priority="4233" operator="containsText" text="รถยังไม่ถูกปล่อย">
      <formula>NOT(ISERROR(SEARCH("รถยังไม่ถูกปล่อย",R200)))</formula>
    </cfRule>
    <cfRule type="containsText" dxfId="170" priority="4259" operator="containsText" text="正在卸货 กำลังลงพัสดุ">
      <formula>NOT(ISERROR(SEARCH("正在卸货 กำลังลงพัสดุ",R200)))</formula>
    </cfRule>
    <cfRule type="containsText" dxfId="169" priority="4285" operator="containsText" text="等卸货 รอลงพัสดุ">
      <formula>NOT(ISERROR(SEARCH("等卸货 รอลงพัสดุ",R200)))</formula>
    </cfRule>
    <cfRule type="containsText" dxfId="168" priority="4311" operator="containsText" text="卸完货 ลงเสร็จ">
      <formula>NOT(ISERROR(SEARCH("卸完货 ลงเสร็จ",R200)))</formula>
    </cfRule>
  </conditionalFormatting>
  <conditionalFormatting sqref="O201">
    <cfRule type="expression" dxfId="167" priority="4102">
      <formula>$O201="อยู่ในเวลาที่ควรลง"</formula>
    </cfRule>
    <cfRule type="expression" dxfId="166" priority="4128">
      <formula>$O201="เกินเวลาลงพัสดุ"</formula>
    </cfRule>
    <cfRule type="expression" dxfId="165" priority="4154">
      <formula>$O201="อยู่ในเวลาที่ควรลง"</formula>
    </cfRule>
    <cfRule type="expression" dxfId="164" priority="4180">
      <formula>$O201="เกินเวลาลงพัสดุ"</formula>
    </cfRule>
  </conditionalFormatting>
  <conditionalFormatting sqref="R201">
    <cfRule type="containsText" dxfId="163" priority="4206" operator="containsText" text="在途 รถยังไม่ถึง">
      <formula>NOT(ISERROR(SEARCH("在途 รถยังไม่ถึง",R201)))</formula>
    </cfRule>
    <cfRule type="containsText" dxfId="162" priority="4232" operator="containsText" text="รถยังไม่ถูกปล่อย">
      <formula>NOT(ISERROR(SEARCH("รถยังไม่ถูกปล่อย",R201)))</formula>
    </cfRule>
    <cfRule type="containsText" dxfId="161" priority="4258" operator="containsText" text="正在卸货 กำลังลงพัสดุ">
      <formula>NOT(ISERROR(SEARCH("正在卸货 กำลังลงพัสดุ",R201)))</formula>
    </cfRule>
    <cfRule type="containsText" dxfId="160" priority="4284" operator="containsText" text="等卸货 รอลงพัสดุ">
      <formula>NOT(ISERROR(SEARCH("等卸货 รอลงพัสดุ",R201)))</formula>
    </cfRule>
    <cfRule type="containsText" dxfId="159" priority="4310" operator="containsText" text="卸完货 ลงเสร็จ">
      <formula>NOT(ISERROR(SEARCH("卸完货 ลงเสร็จ",R201)))</formula>
    </cfRule>
  </conditionalFormatting>
  <conditionalFormatting sqref="O202">
    <cfRule type="expression" dxfId="158" priority="4101">
      <formula>$O202="อยู่ในเวลาที่ควรลง"</formula>
    </cfRule>
    <cfRule type="expression" dxfId="157" priority="4127">
      <formula>$O202="เกินเวลาลงพัสดุ"</formula>
    </cfRule>
    <cfRule type="expression" dxfId="156" priority="4153">
      <formula>$O202="อยู่ในเวลาที่ควรลง"</formula>
    </cfRule>
    <cfRule type="expression" dxfId="155" priority="4179">
      <formula>$O202="เกินเวลาลงพัสดุ"</formula>
    </cfRule>
  </conditionalFormatting>
  <conditionalFormatting sqref="R202">
    <cfRule type="containsText" dxfId="154" priority="4205" operator="containsText" text="在途 รถยังไม่ถึง">
      <formula>NOT(ISERROR(SEARCH("在途 รถยังไม่ถึง",R202)))</formula>
    </cfRule>
    <cfRule type="containsText" dxfId="153" priority="4231" operator="containsText" text="รถยังไม่ถูกปล่อย">
      <formula>NOT(ISERROR(SEARCH("รถยังไม่ถูกปล่อย",R202)))</formula>
    </cfRule>
    <cfRule type="containsText" dxfId="152" priority="4257" operator="containsText" text="正在卸货 กำลังลงพัสดุ">
      <formula>NOT(ISERROR(SEARCH("正在卸货 กำลังลงพัสดุ",R202)))</formula>
    </cfRule>
    <cfRule type="containsText" dxfId="151" priority="4283" operator="containsText" text="等卸货 รอลงพัสดุ">
      <formula>NOT(ISERROR(SEARCH("等卸货 รอลงพัสดุ",R202)))</formula>
    </cfRule>
    <cfRule type="containsText" dxfId="150" priority="4309" operator="containsText" text="卸完货 ลงเสร็จ">
      <formula>NOT(ISERROR(SEARCH("卸完货 ลงเสร็จ",R202)))</formula>
    </cfRule>
  </conditionalFormatting>
  <conditionalFormatting sqref="O203">
    <cfRule type="expression" dxfId="149" priority="4100">
      <formula>$O203="อยู่ในเวลาที่ควรลง"</formula>
    </cfRule>
    <cfRule type="expression" dxfId="148" priority="4126">
      <formula>$O203="เกินเวลาลงพัสดุ"</formula>
    </cfRule>
    <cfRule type="expression" dxfId="147" priority="4152">
      <formula>$O203="อยู่ในเวลาที่ควรลง"</formula>
    </cfRule>
    <cfRule type="expression" dxfId="146" priority="4178">
      <formula>$O203="เกินเวลาลงพัสดุ"</formula>
    </cfRule>
  </conditionalFormatting>
  <conditionalFormatting sqref="R203">
    <cfRule type="containsText" dxfId="145" priority="4204" operator="containsText" text="在途 รถยังไม่ถึง">
      <formula>NOT(ISERROR(SEARCH("在途 รถยังไม่ถึง",R203)))</formula>
    </cfRule>
    <cfRule type="containsText" dxfId="144" priority="4230" operator="containsText" text="รถยังไม่ถูกปล่อย">
      <formula>NOT(ISERROR(SEARCH("รถยังไม่ถูกปล่อย",R203)))</formula>
    </cfRule>
    <cfRule type="containsText" dxfId="143" priority="4256" operator="containsText" text="正在卸货 กำลังลงพัสดุ">
      <formula>NOT(ISERROR(SEARCH("正在卸货 กำลังลงพัสดุ",R203)))</formula>
    </cfRule>
    <cfRule type="containsText" dxfId="142" priority="4282" operator="containsText" text="等卸货 รอลงพัสดุ">
      <formula>NOT(ISERROR(SEARCH("等卸货 รอลงพัสดุ",R203)))</formula>
    </cfRule>
    <cfRule type="containsText" dxfId="141" priority="4308" operator="containsText" text="卸完货 ลงเสร็จ">
      <formula>NOT(ISERROR(SEARCH("卸完货 ลงเสร็จ",R203)))</formula>
    </cfRule>
  </conditionalFormatting>
  <conditionalFormatting sqref="O204">
    <cfRule type="expression" dxfId="140" priority="4099">
      <formula>$O204="อยู่ในเวลาที่ควรลง"</formula>
    </cfRule>
    <cfRule type="expression" dxfId="139" priority="4125">
      <formula>$O204="เกินเวลาลงพัสดุ"</formula>
    </cfRule>
    <cfRule type="expression" dxfId="138" priority="4151">
      <formula>$O204="อยู่ในเวลาที่ควรลง"</formula>
    </cfRule>
    <cfRule type="expression" dxfId="137" priority="4177">
      <formula>$O204="เกินเวลาลงพัสดุ"</formula>
    </cfRule>
  </conditionalFormatting>
  <conditionalFormatting sqref="R204">
    <cfRule type="containsText" dxfId="136" priority="4203" operator="containsText" text="在途 รถยังไม่ถึง">
      <formula>NOT(ISERROR(SEARCH("在途 รถยังไม่ถึง",R204)))</formula>
    </cfRule>
    <cfRule type="containsText" dxfId="135" priority="4229" operator="containsText" text="รถยังไม่ถูกปล่อย">
      <formula>NOT(ISERROR(SEARCH("รถยังไม่ถูกปล่อย",R204)))</formula>
    </cfRule>
    <cfRule type="containsText" dxfId="134" priority="4255" operator="containsText" text="正在卸货 กำลังลงพัสดุ">
      <formula>NOT(ISERROR(SEARCH("正在卸货 กำลังลงพัสดุ",R204)))</formula>
    </cfRule>
    <cfRule type="containsText" dxfId="133" priority="4281" operator="containsText" text="等卸货 รอลงพัสดุ">
      <formula>NOT(ISERROR(SEARCH("等卸货 รอลงพัสดุ",R204)))</formula>
    </cfRule>
    <cfRule type="containsText" dxfId="132" priority="4307" operator="containsText" text="卸完货 ลงเสร็จ">
      <formula>NOT(ISERROR(SEARCH("卸完货 ลงเสร็จ",R204)))</formula>
    </cfRule>
  </conditionalFormatting>
  <conditionalFormatting sqref="O205">
    <cfRule type="expression" dxfId="131" priority="4098">
      <formula>$O205="อยู่ในเวลาที่ควรลง"</formula>
    </cfRule>
    <cfRule type="expression" dxfId="130" priority="4124">
      <formula>$O205="เกินเวลาลงพัสดุ"</formula>
    </cfRule>
    <cfRule type="expression" dxfId="129" priority="4150">
      <formula>$O205="อยู่ในเวลาที่ควรลง"</formula>
    </cfRule>
    <cfRule type="expression" dxfId="128" priority="4176">
      <formula>$O205="เกินเวลาลงพัสดุ"</formula>
    </cfRule>
  </conditionalFormatting>
  <conditionalFormatting sqref="R205">
    <cfRule type="containsText" dxfId="127" priority="4202" operator="containsText" text="在途 รถยังไม่ถึง">
      <formula>NOT(ISERROR(SEARCH("在途 รถยังไม่ถึง",R205)))</formula>
    </cfRule>
    <cfRule type="containsText" dxfId="126" priority="4228" operator="containsText" text="รถยังไม่ถูกปล่อย">
      <formula>NOT(ISERROR(SEARCH("รถยังไม่ถูกปล่อย",R205)))</formula>
    </cfRule>
    <cfRule type="containsText" dxfId="125" priority="4254" operator="containsText" text="正在卸货 กำลังลงพัสดุ">
      <formula>NOT(ISERROR(SEARCH("正在卸货 กำลังลงพัสดุ",R205)))</formula>
    </cfRule>
    <cfRule type="containsText" dxfId="124" priority="4280" operator="containsText" text="等卸货 รอลงพัสดุ">
      <formula>NOT(ISERROR(SEARCH("等卸货 รอลงพัสดุ",R205)))</formula>
    </cfRule>
    <cfRule type="containsText" dxfId="123" priority="4306" operator="containsText" text="卸完货 ลงเสร็จ">
      <formula>NOT(ISERROR(SEARCH("卸完货 ลงเสร็จ",R205)))</formula>
    </cfRule>
  </conditionalFormatting>
  <conditionalFormatting sqref="O206">
    <cfRule type="expression" dxfId="122" priority="4097">
      <formula>$O206="อยู่ในเวลาที่ควรลง"</formula>
    </cfRule>
    <cfRule type="expression" dxfId="121" priority="4123">
      <formula>$O206="เกินเวลาลงพัสดุ"</formula>
    </cfRule>
    <cfRule type="expression" dxfId="120" priority="4149">
      <formula>$O206="อยู่ในเวลาที่ควรลง"</formula>
    </cfRule>
    <cfRule type="expression" dxfId="119" priority="4175">
      <formula>$O206="เกินเวลาลงพัสดุ"</formula>
    </cfRule>
  </conditionalFormatting>
  <conditionalFormatting sqref="R206">
    <cfRule type="containsText" dxfId="118" priority="4201" operator="containsText" text="在途 รถยังไม่ถึง">
      <formula>NOT(ISERROR(SEARCH("在途 รถยังไม่ถึง",R206)))</formula>
    </cfRule>
    <cfRule type="containsText" dxfId="117" priority="4227" operator="containsText" text="รถยังไม่ถูกปล่อย">
      <formula>NOT(ISERROR(SEARCH("รถยังไม่ถูกปล่อย",R206)))</formula>
    </cfRule>
    <cfRule type="containsText" dxfId="116" priority="4253" operator="containsText" text="正在卸货 กำลังลงพัสดุ">
      <formula>NOT(ISERROR(SEARCH("正在卸货 กำลังลงพัสดุ",R206)))</formula>
    </cfRule>
    <cfRule type="containsText" dxfId="115" priority="4279" operator="containsText" text="等卸货 รอลงพัสดุ">
      <formula>NOT(ISERROR(SEARCH("等卸货 รอลงพัสดุ",R206)))</formula>
    </cfRule>
    <cfRule type="containsText" dxfId="114" priority="4305" operator="containsText" text="卸完货 ลงเสร็จ">
      <formula>NOT(ISERROR(SEARCH("卸完货 ลงเสร็จ",R206)))</formula>
    </cfRule>
  </conditionalFormatting>
  <conditionalFormatting sqref="O207">
    <cfRule type="expression" dxfId="113" priority="4096">
      <formula>$O207="อยู่ในเวลาที่ควรลง"</formula>
    </cfRule>
    <cfRule type="expression" dxfId="112" priority="4122">
      <formula>$O207="เกินเวลาลงพัสดุ"</formula>
    </cfRule>
    <cfRule type="expression" dxfId="111" priority="4148">
      <formula>$O207="อยู่ในเวลาที่ควรลง"</formula>
    </cfRule>
    <cfRule type="expression" dxfId="110" priority="4174">
      <formula>$O207="เกินเวลาลงพัสดุ"</formula>
    </cfRule>
  </conditionalFormatting>
  <conditionalFormatting sqref="R207">
    <cfRule type="containsText" dxfId="109" priority="4200" operator="containsText" text="在途 รถยังไม่ถึง">
      <formula>NOT(ISERROR(SEARCH("在途 รถยังไม่ถึง",R207)))</formula>
    </cfRule>
    <cfRule type="containsText" dxfId="108" priority="4226" operator="containsText" text="รถยังไม่ถูกปล่อย">
      <formula>NOT(ISERROR(SEARCH("รถยังไม่ถูกปล่อย",R207)))</formula>
    </cfRule>
    <cfRule type="containsText" dxfId="107" priority="4252" operator="containsText" text="正在卸货 กำลังลงพัสดุ">
      <formula>NOT(ISERROR(SEARCH("正在卸货 กำลังลงพัสดุ",R207)))</formula>
    </cfRule>
    <cfRule type="containsText" dxfId="106" priority="4278" operator="containsText" text="等卸货 รอลงพัสดุ">
      <formula>NOT(ISERROR(SEARCH("等卸货 รอลงพัสดุ",R207)))</formula>
    </cfRule>
    <cfRule type="containsText" dxfId="105" priority="4304" operator="containsText" text="卸完货 ลงเสร็จ">
      <formula>NOT(ISERROR(SEARCH("卸完货 ลงเสร็จ",R207)))</formula>
    </cfRule>
  </conditionalFormatting>
  <conditionalFormatting sqref="Q240">
    <cfRule type="containsText" dxfId="104" priority="44226" operator="containsText" text="正在卸货 กำลังลงพัสดุ">
      <formula>NOT(ISERROR(SEARCH("正在卸货 กำลังลงพัสดุ",Q240)))</formula>
    </cfRule>
    <cfRule type="containsText" dxfId="103" priority="44227" operator="containsText" text="等卸货 รอลงพัสดุ">
      <formula>NOT(ISERROR(SEARCH("等卸货 รอลงพัสดุ",Q240)))</formula>
    </cfRule>
    <cfRule type="containsText" dxfId="102" priority="44228" operator="containsText" text="卸完货 ลงเสร็จ">
      <formula>NOT(ISERROR(SEARCH("卸完货 ลงเสร็จ",Q240)))</formula>
    </cfRule>
  </conditionalFormatting>
  <conditionalFormatting sqref="O5:O6">
    <cfRule type="expression" dxfId="101" priority="166">
      <formula>$O5="อยู่ในเวลาที่ควรลง"</formula>
    </cfRule>
    <cfRule type="expression" dxfId="100" priority="167">
      <formula>$O5="เกินเวลาลงพัสดุ"</formula>
    </cfRule>
    <cfRule type="expression" dxfId="99" priority="168">
      <formula>$O5="อยู่ในเวลาที่ควรลง"</formula>
    </cfRule>
    <cfRule type="expression" dxfId="98" priority="169">
      <formula>$O5="เกินเวลาลงพัสดุ"</formula>
    </cfRule>
  </conditionalFormatting>
  <conditionalFormatting sqref="O7:O179">
    <cfRule type="expression" dxfId="97" priority="14506">
      <formula>$O7="อยู่ในเวลาที่ควรลง"</formula>
    </cfRule>
    <cfRule type="expression" dxfId="96" priority="14581">
      <formula>$O7="เกินเวลาลงพัสดุ"</formula>
    </cfRule>
    <cfRule type="expression" dxfId="95" priority="14656">
      <formula>$O7="อยู่ในเวลาที่ควรลง"</formula>
    </cfRule>
    <cfRule type="expression" dxfId="94" priority="14731">
      <formula>$O7="เกินเวลาลงพัสดุ"</formula>
    </cfRule>
  </conditionalFormatting>
  <conditionalFormatting sqref="O183:O198">
    <cfRule type="expression" dxfId="93" priority="1575">
      <formula>$O183="อยู่ในเวลาที่ควรลง"</formula>
    </cfRule>
    <cfRule type="expression" dxfId="92" priority="1576">
      <formula>$O183="เกินเวลาลงพัสดุ"</formula>
    </cfRule>
    <cfRule type="expression" dxfId="91" priority="1577">
      <formula>$O183="อยู่ในเวลาที่ควรลง"</formula>
    </cfRule>
    <cfRule type="expression" dxfId="90" priority="1578">
      <formula>$O183="เกินเวลาลงพัสดุ"</formula>
    </cfRule>
  </conditionalFormatting>
  <conditionalFormatting sqref="O199:O200">
    <cfRule type="expression" dxfId="89" priority="4120">
      <formula>$O199="อยู่ในเวลาที่ควรลง"</formula>
    </cfRule>
    <cfRule type="expression" dxfId="88" priority="4146">
      <formula>$O199="เกินเวลาลงพัสดุ"</formula>
    </cfRule>
    <cfRule type="expression" dxfId="87" priority="4172">
      <formula>$O199="อยู่ในเวลาที่ควรลง"</formula>
    </cfRule>
    <cfRule type="expression" dxfId="86" priority="4198">
      <formula>$O199="เกินเวลาลงพัสดุ"</formula>
    </cfRule>
  </conditionalFormatting>
  <conditionalFormatting sqref="O208:O238">
    <cfRule type="expression" dxfId="85" priority="4095">
      <formula>$O208="อยู่ในเวลาที่ควรลง"</formula>
    </cfRule>
    <cfRule type="expression" dxfId="84" priority="4121">
      <formula>$O208="เกินเวลาลงพัสดุ"</formula>
    </cfRule>
    <cfRule type="expression" dxfId="83" priority="4147">
      <formula>$O208="อยู่ในเวลาที่ควรลง"</formula>
    </cfRule>
    <cfRule type="expression" dxfId="82" priority="4173">
      <formula>$O208="เกินเวลาลงพัสดุ"</formula>
    </cfRule>
  </conditionalFormatting>
  <conditionalFormatting sqref="Q5:Q179">
    <cfRule type="containsText" dxfId="81" priority="16" operator="containsText" text="在途 รถยังไม่ถึง">
      <formula>NOT(ISERROR(SEARCH("在途 รถยังไม่ถึง",Q5)))</formula>
    </cfRule>
    <cfRule type="containsText" dxfId="80" priority="17" operator="containsText" text="正在卸货 กำลังลงพัสดุ">
      <formula>NOT(ISERROR(SEARCH("正在卸货 กำลังลงพัสดุ",Q5)))</formula>
    </cfRule>
    <cfRule type="containsText" dxfId="79" priority="18" operator="containsText" text="等卸货 รอลงพัสดุ">
      <formula>NOT(ISERROR(SEARCH("等卸货 รอลงพัสดุ",Q5)))</formula>
    </cfRule>
    <cfRule type="containsText" dxfId="78" priority="20" operator="containsText" text="卸完货 ลงพัสดุเสร็จ">
      <formula>NOT(ISERROR(SEARCH("卸完货 ลงพัสดุเสร็จ",Q5)))</formula>
    </cfRule>
  </conditionalFormatting>
  <conditionalFormatting sqref="Q183:Q225">
    <cfRule type="containsText" dxfId="77" priority="1" operator="containsText" text="在途 รถยังไม่ถึง">
      <formula>NOT(ISERROR(SEARCH("在途 รถยังไม่ถึง",Q183)))</formula>
    </cfRule>
    <cfRule type="containsText" dxfId="76" priority="2" operator="containsText" text="正在卸货 กำลังลงพัสดุ">
      <formula>NOT(ISERROR(SEARCH("正在卸货 กำลังลงพัสดุ",Q183)))</formula>
    </cfRule>
    <cfRule type="containsText" dxfId="75" priority="3" operator="containsText" text="等待卸货 รอลงพัสดุ">
      <formula>NOT(ISERROR(SEARCH("等待卸货 รอลงพัสดุ",Q183)))</formula>
    </cfRule>
    <cfRule type="containsText" dxfId="74" priority="5" operator="containsText" text="卸完货 ลงพัสดุเสร็จ">
      <formula>NOT(ISERROR(SEARCH("卸完货 ลงพัสดุเสร็จ",Q183)))</formula>
    </cfRule>
  </conditionalFormatting>
  <conditionalFormatting sqref="Q226:Q238">
    <cfRule type="containsText" dxfId="73" priority="3965" operator="containsText" text="在途 รถยังไม่ถึง">
      <formula>NOT(ISERROR(SEARCH("在途 รถยังไม่ถึง",Q226)))</formula>
    </cfRule>
    <cfRule type="containsText" dxfId="72" priority="3991" operator="containsText" text="รถยังไม่ถูกปล่อย">
      <formula>NOT(ISERROR(SEARCH("รถยังไม่ถูกปล่อย",Q226)))</formula>
    </cfRule>
    <cfRule type="containsText" dxfId="71" priority="4017" operator="containsText" text="正在卸货 กำลังลงพัสดุ">
      <formula>NOT(ISERROR(SEARCH("正在卸货 กำลังลงพัสดุ",Q226)))</formula>
    </cfRule>
    <cfRule type="containsText" dxfId="70" priority="4043" operator="containsText" text="等卸货 รอลงพัสดุ">
      <formula>NOT(ISERROR(SEARCH("等卸货 รอลงพัสดุ",Q226)))</formula>
    </cfRule>
    <cfRule type="containsText" dxfId="69" priority="4069" operator="containsText" text="卸完货 ลงเสร็จ">
      <formula>NOT(ISERROR(SEARCH("卸完货 ลงเสร็จ",Q226)))</formula>
    </cfRule>
  </conditionalFormatting>
  <conditionalFormatting sqref="R5:R179">
    <cfRule type="containsText" dxfId="68" priority="30121" operator="containsText" text="在途 รถยังไม่ถึง">
      <formula>NOT(ISERROR(SEARCH("在途 รถยังไม่ถึง",R5)))</formula>
    </cfRule>
    <cfRule type="containsText" dxfId="67" priority="30122" operator="containsText" text="รถยังไม่ถูกปล่อย">
      <formula>NOT(ISERROR(SEARCH("รถยังไม่ถูกปล่อย",R5)))</formula>
    </cfRule>
    <cfRule type="containsText" dxfId="66" priority="30123" operator="containsText" text="正在卸货 กำลังลงพัสดุ">
      <formula>NOT(ISERROR(SEARCH("正在卸货 กำลังลงพัสดุ",R5)))</formula>
    </cfRule>
    <cfRule type="containsText" dxfId="65" priority="30124" operator="containsText" text="等卸货 รอลงพัสดุ">
      <formula>NOT(ISERROR(SEARCH("等卸货 รอลงพัสดุ",R5)))</formula>
    </cfRule>
    <cfRule type="containsText" dxfId="64" priority="30125" operator="containsText" text="卸完货 ลงเสร็จ">
      <formula>NOT(ISERROR(SEARCH("卸完货 ลงเสร็จ",R5)))</formula>
    </cfRule>
  </conditionalFormatting>
  <conditionalFormatting sqref="R183:R184">
    <cfRule type="containsText" dxfId="63" priority="161" operator="containsText" text="在途 รถยังไม่ถึง">
      <formula>NOT(ISERROR(SEARCH("在途 รถยังไม่ถึง",R183)))</formula>
    </cfRule>
    <cfRule type="containsText" dxfId="62" priority="162" operator="containsText" text="รถยังไม่ถูกปล่อย">
      <formula>NOT(ISERROR(SEARCH("รถยังไม่ถูกปล่อย",R183)))</formula>
    </cfRule>
    <cfRule type="containsText" dxfId="61" priority="163" operator="containsText" text="正在卸货 กำลังลงพัสดุ">
      <formula>NOT(ISERROR(SEARCH("正在卸货 กำลังลงพัสดุ",R183)))</formula>
    </cfRule>
    <cfRule type="containsText" dxfId="60" priority="164" operator="containsText" text="等卸货 รอลงพัสดุ">
      <formula>NOT(ISERROR(SEARCH("等卸货 รอลงพัสดุ",R183)))</formula>
    </cfRule>
    <cfRule type="containsText" dxfId="59" priority="165" operator="containsText" text="卸完货 ลงเสร็จ">
      <formula>NOT(ISERROR(SEARCH("卸完货 ลงเสร็จ",R183)))</formula>
    </cfRule>
  </conditionalFormatting>
  <conditionalFormatting sqref="R190:R192">
    <cfRule type="containsText" dxfId="58" priority="314" operator="containsText" text="在途 รถยังไม่ถึง">
      <formula>NOT(ISERROR(SEARCH("在途 รถยังไม่ถึง",R190)))</formula>
    </cfRule>
    <cfRule type="containsText" dxfId="57" priority="315" operator="containsText" text="รถยังไม่ถูกปล่อย">
      <formula>NOT(ISERROR(SEARCH("รถยังไม่ถูกปล่อย",R190)))</formula>
    </cfRule>
    <cfRule type="containsText" dxfId="56" priority="316" operator="containsText" text="正在卸货 กำลังลงพัสดุ">
      <formula>NOT(ISERROR(SEARCH("正在卸货 กำลังลงพัสดุ",R190)))</formula>
    </cfRule>
    <cfRule type="containsText" dxfId="55" priority="317" operator="containsText" text="等卸货 รอลงพัสดุ">
      <formula>NOT(ISERROR(SEARCH("等卸货 รอลงพัสดุ",R190)))</formula>
    </cfRule>
    <cfRule type="containsText" dxfId="54" priority="318" operator="containsText" text="卸完货 ลงเสร็จ">
      <formula>NOT(ISERROR(SEARCH("卸完货 ลงเสร็จ",R190)))</formula>
    </cfRule>
  </conditionalFormatting>
  <conditionalFormatting sqref="R194:R197">
    <cfRule type="containsText" dxfId="53" priority="603" operator="containsText" text="在途 รถยังไม่ถึง">
      <formula>NOT(ISERROR(SEARCH("在途 รถยังไม่ถึง",R194)))</formula>
    </cfRule>
    <cfRule type="containsText" dxfId="52" priority="604" operator="containsText" text="รถยังไม่ถูกปล่อย">
      <formula>NOT(ISERROR(SEARCH("รถยังไม่ถูกปล่อย",R194)))</formula>
    </cfRule>
    <cfRule type="containsText" dxfId="51" priority="605" operator="containsText" text="正在卸货 กำลังลงพัสดุ">
      <formula>NOT(ISERROR(SEARCH("正在卸货 กำลังลงพัสดุ",R194)))</formula>
    </cfRule>
    <cfRule type="containsText" dxfId="50" priority="606" operator="containsText" text="等卸货 รอลงพัสดุ">
      <formula>NOT(ISERROR(SEARCH("等卸货 รอลงพัสดุ",R194)))</formula>
    </cfRule>
    <cfRule type="containsText" dxfId="49" priority="607" operator="containsText" text="卸完货 ลงเสร็จ">
      <formula>NOT(ISERROR(SEARCH("卸完货 ลงเสร็จ",R194)))</formula>
    </cfRule>
  </conditionalFormatting>
  <conditionalFormatting sqref="R208:R238">
    <cfRule type="containsText" dxfId="48" priority="4199" operator="containsText" text="在途 รถยังไม่ถึง">
      <formula>NOT(ISERROR(SEARCH("在途 รถยังไม่ถึง",R208)))</formula>
    </cfRule>
    <cfRule type="containsText" dxfId="47" priority="4225" operator="containsText" text="รถยังไม่ถูกปล่อย">
      <formula>NOT(ISERROR(SEARCH("รถยังไม่ถูกปล่อย",R208)))</formula>
    </cfRule>
    <cfRule type="containsText" dxfId="46" priority="4251" operator="containsText" text="正在卸货 กำลังลงพัสดุ">
      <formula>NOT(ISERROR(SEARCH("正在卸货 กำลังลงพัสดุ",R208)))</formula>
    </cfRule>
    <cfRule type="containsText" dxfId="45" priority="4277" operator="containsText" text="等卸货 รอลงพัสดุ">
      <formula>NOT(ISERROR(SEARCH("等卸货 รอลงพัสดุ",R208)))</formula>
    </cfRule>
    <cfRule type="containsText" dxfId="44" priority="4303" operator="containsText" text="卸完货 ลงเสร็จ">
      <formula>NOT(ISERROR(SEARCH("卸完货 ลงเสร็จ",R208)))</formula>
    </cfRule>
  </conditionalFormatting>
  <conditionalFormatting sqref="X5:X179">
    <cfRule type="cellIs" dxfId="43" priority="44229" operator="between">
      <formula>0.0000115740740740741</formula>
      <formula>1</formula>
    </cfRule>
  </conditionalFormatting>
  <conditionalFormatting sqref="X183:X200">
    <cfRule type="cellIs" dxfId="42" priority="43376" operator="between">
      <formula>0.0000115740740740741</formula>
      <formula>1</formula>
    </cfRule>
  </conditionalFormatting>
  <conditionalFormatting sqref="Q4 Q241:Q1048576">
    <cfRule type="containsText" dxfId="41" priority="46982" operator="containsText" text="正在卸货 กำลังลงพัสดุ">
      <formula>NOT(ISERROR(SEARCH("正在卸货 กำลังลงพัสดุ",Q4)))</formula>
    </cfRule>
    <cfRule type="containsText" dxfId="40" priority="46983" operator="containsText" text="等卸货 รอลงพัสดุ">
      <formula>NOT(ISERROR(SEARCH("等卸货 รอลงพัสดุ",Q4)))</formula>
    </cfRule>
    <cfRule type="containsText" dxfId="39" priority="46984" operator="containsText" text="卸完货 ลงเสร็จ">
      <formula>NOT(ISERROR(SEARCH("卸完货 ลงเสร็จ",Q4)))</formula>
    </cfRule>
  </conditionalFormatting>
  <conditionalFormatting sqref="R239">
    <cfRule type="containsText" dxfId="38" priority="44221" operator="containsText" text="在途 รถยังไม่ถึง">
      <formula>NOT(ISERROR(SEARCH("在途 รถยังไม่ถึง",R239)))</formula>
    </cfRule>
    <cfRule type="containsText" dxfId="37" priority="44222" operator="containsText" text="รถยังไม่ถูกปล่อย">
      <formula>NOT(ISERROR(SEARCH("รถยังไม่ถูกปล่อย",R239)))</formula>
    </cfRule>
    <cfRule type="containsText" dxfId="36" priority="44223" operator="containsText" text="正在卸货 กำลังลงพัสดุ">
      <formula>NOT(ISERROR(SEARCH("正在卸货 กำลังลงพัสดุ",R239)))</formula>
    </cfRule>
    <cfRule type="containsText" dxfId="35" priority="44224" operator="containsText" text="等卸货 รอลงพัสดุ">
      <formula>NOT(ISERROR(SEARCH("等卸货 รอลงพัสดุ",R239)))</formula>
    </cfRule>
    <cfRule type="containsText" dxfId="34" priority="44225" operator="containsText" text="卸完货 ลงเสร็จ">
      <formula>NOT(ISERROR(SEARCH("卸完货 ลงเสร็จ",R239)))</formula>
    </cfRule>
  </conditionalFormatting>
  <conditionalFormatting sqref="T239">
    <cfRule type="containsText" dxfId="33" priority="44202" operator="containsText" text="在途 รถยังไม่ถึง">
      <formula>NOT(ISERROR(SEARCH("在途 รถยังไม่ถึง",T239)))</formula>
    </cfRule>
    <cfRule type="containsText" dxfId="32" priority="44203" operator="containsText" text="รถยังไม่ถูกปล่อย">
      <formula>NOT(ISERROR(SEARCH("รถยังไม่ถูกปล่อย",T239)))</formula>
    </cfRule>
    <cfRule type="containsText" dxfId="31" priority="44204" operator="containsText" text="正在卸货 กำลังลงพัสดุ">
      <formula>NOT(ISERROR(SEARCH("正在卸货 กำลังลงพัสดุ",T239)))</formula>
    </cfRule>
    <cfRule type="containsText" dxfId="30" priority="44205" operator="containsText" text="等卸货 รอลงพัสดุ">
      <formula>NOT(ISERROR(SEARCH("等卸货 รอลงพัสดุ",T239)))</formula>
    </cfRule>
    <cfRule type="containsText" dxfId="29" priority="44206" operator="containsText" text="卸完货 ลงเสร็จ">
      <formula>NOT(ISERROR(SEARCH("卸完货 ลงเสร็จ",T239)))</formula>
    </cfRule>
  </conditionalFormatting>
  <dataValidations count="1">
    <dataValidation type="list" allowBlank="1" showInputMessage="1" showErrorMessage="1" sqref="R240 T240 Q183:R238 Q5:R179" xr:uid="{00000000-0002-0000-0000-000000000000}">
      <formula1>"卸完货 ลงเสร็จ,等卸货 รอลงพัสดุ,正在卸货 กำลังลงพัสดุ,รถยังไม่ถูกปล่อย,在途 รถยังไม่ถึง"</formula1>
    </dataValidation>
  </dataValidation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110A-2EB2-4193-82A4-C5929D722496}">
  <dimension ref="A1:BA2"/>
  <sheetViews>
    <sheetView topLeftCell="AT1" workbookViewId="0">
      <selection activeCell="AN1" sqref="AN1"/>
    </sheetView>
  </sheetViews>
  <sheetFormatPr defaultRowHeight="14.25"/>
  <cols>
    <col min="1" max="1" width="16.625" bestFit="1" customWidth="1"/>
    <col min="2" max="2" width="17.75" bestFit="1" customWidth="1"/>
    <col min="3" max="3" width="13.375" bestFit="1" customWidth="1"/>
    <col min="4" max="4" width="22.125" bestFit="1" customWidth="1"/>
    <col min="5" max="5" width="29.25" bestFit="1" customWidth="1"/>
    <col min="6" max="6" width="14.375" bestFit="1" customWidth="1"/>
    <col min="7" max="7" width="14.625" bestFit="1" customWidth="1"/>
    <col min="8" max="8" width="12.75" bestFit="1" customWidth="1"/>
    <col min="9" max="9" width="16.125" bestFit="1" customWidth="1"/>
    <col min="10" max="10" width="14.125" bestFit="1" customWidth="1"/>
    <col min="11" max="11" width="14" bestFit="1" customWidth="1"/>
    <col min="12" max="12" width="20.25" bestFit="1" customWidth="1"/>
    <col min="13" max="13" width="19" bestFit="1" customWidth="1"/>
    <col min="14" max="14" width="22.625" bestFit="1" customWidth="1"/>
    <col min="15" max="15" width="11.75" bestFit="1" customWidth="1"/>
    <col min="16" max="16" width="21.25" bestFit="1" customWidth="1"/>
    <col min="17" max="17" width="13" bestFit="1" customWidth="1"/>
    <col min="18" max="18" width="10.5" bestFit="1" customWidth="1"/>
    <col min="19" max="19" width="17.25" bestFit="1" customWidth="1"/>
    <col min="20" max="20" width="18.125" bestFit="1" customWidth="1"/>
    <col min="21" max="21" width="19" bestFit="1" customWidth="1"/>
    <col min="22" max="23" width="14.75" bestFit="1" customWidth="1"/>
    <col min="24" max="24" width="27.375" bestFit="1" customWidth="1"/>
    <col min="25" max="25" width="31.875" bestFit="1" customWidth="1"/>
    <col min="26" max="26" width="28.625" bestFit="1" customWidth="1"/>
    <col min="27" max="27" width="18.625" bestFit="1" customWidth="1"/>
    <col min="28" max="28" width="11.75" bestFit="1" customWidth="1"/>
    <col min="29" max="29" width="23.5" bestFit="1" customWidth="1"/>
    <col min="30" max="30" width="16.625" bestFit="1" customWidth="1"/>
    <col min="31" max="31" width="14" customWidth="1"/>
    <col min="32" max="32" width="21.125" bestFit="1" customWidth="1"/>
    <col min="33" max="33" width="23.125" bestFit="1" customWidth="1"/>
    <col min="34" max="34" width="15" bestFit="1" customWidth="1"/>
    <col min="35" max="35" width="22.5" bestFit="1" customWidth="1"/>
    <col min="36" max="37" width="19.625" bestFit="1" customWidth="1"/>
    <col min="38" max="38" width="16.625" bestFit="1" customWidth="1"/>
    <col min="39" max="39" width="16.25" bestFit="1" customWidth="1"/>
    <col min="40" max="40" width="12" bestFit="1" customWidth="1"/>
    <col min="41" max="41" width="17.125" bestFit="1" customWidth="1"/>
    <col min="42" max="42" width="20.625" bestFit="1" customWidth="1"/>
    <col min="43" max="43" width="13.75" bestFit="1" customWidth="1"/>
    <col min="44" max="44" width="21.25" bestFit="1" customWidth="1"/>
    <col min="45" max="45" width="10.875" bestFit="1" customWidth="1"/>
    <col min="46" max="46" width="21.625" bestFit="1" customWidth="1"/>
    <col min="47" max="47" width="16" bestFit="1" customWidth="1"/>
    <col min="48" max="48" width="21.875" bestFit="1" customWidth="1"/>
    <col min="49" max="49" width="15.5" bestFit="1" customWidth="1"/>
    <col min="50" max="50" width="34.875" bestFit="1" customWidth="1"/>
    <col min="51" max="51" width="31.875" bestFit="1" customWidth="1"/>
    <col min="52" max="52" width="31.25" bestFit="1" customWidth="1"/>
    <col min="53" max="53" width="28.375" bestFit="1" customWidth="1"/>
    <col min="54" max="54" width="16.5" bestFit="1" customWidth="1"/>
    <col min="55" max="55" width="15.75" bestFit="1" customWidth="1"/>
    <col min="56" max="56" width="23.625" bestFit="1" customWidth="1"/>
    <col min="57" max="57" width="23.5" bestFit="1" customWidth="1"/>
    <col min="58" max="58" width="16.625" bestFit="1" customWidth="1"/>
    <col min="59" max="59" width="14" bestFit="1" customWidth="1"/>
    <col min="60" max="60" width="21.125" bestFit="1" customWidth="1"/>
    <col min="61" max="61" width="23.125" bestFit="1" customWidth="1"/>
    <col min="62" max="62" width="15" bestFit="1" customWidth="1"/>
    <col min="63" max="63" width="22.5" bestFit="1" customWidth="1"/>
    <col min="64" max="64" width="20.25" bestFit="1" customWidth="1"/>
    <col min="65" max="65" width="19.625" bestFit="1" customWidth="1"/>
    <col min="66" max="66" width="20.625" bestFit="1" customWidth="1"/>
    <col min="67" max="67" width="22.375" bestFit="1" customWidth="1"/>
    <col min="68" max="68" width="13.75" bestFit="1" customWidth="1"/>
    <col min="69" max="69" width="12.25" bestFit="1" customWidth="1"/>
    <col min="70" max="70" width="10.875" bestFit="1" customWidth="1"/>
    <col min="71" max="71" width="21.625" bestFit="1" customWidth="1"/>
    <col min="72" max="72" width="16" bestFit="1" customWidth="1"/>
    <col min="73" max="73" width="25.625" bestFit="1" customWidth="1"/>
    <col min="74" max="74" width="20.375" bestFit="1" customWidth="1"/>
    <col min="75" max="75" width="20.125" bestFit="1" customWidth="1"/>
    <col min="76" max="76" width="21.875" bestFit="1" customWidth="1"/>
    <col min="77" max="77" width="20.25" bestFit="1" customWidth="1"/>
    <col min="78" max="78" width="19" bestFit="1" customWidth="1"/>
    <col min="79" max="79" width="22.625" bestFit="1" customWidth="1"/>
    <col min="80" max="80" width="17.625" bestFit="1" customWidth="1"/>
    <col min="81" max="81" width="18.625" bestFit="1" customWidth="1"/>
    <col min="82" max="82" width="19.5" bestFit="1" customWidth="1"/>
    <col min="83" max="83" width="13" bestFit="1" customWidth="1"/>
    <col min="84" max="84" width="20.625" bestFit="1" customWidth="1"/>
    <col min="85" max="85" width="20" bestFit="1" customWidth="1"/>
    <col min="86" max="86" width="26.5" bestFit="1" customWidth="1"/>
    <col min="87" max="87" width="19.875" bestFit="1" customWidth="1"/>
    <col min="88" max="88" width="14.625" bestFit="1" customWidth="1"/>
    <col min="89" max="89" width="14.875" bestFit="1" customWidth="1"/>
    <col min="90" max="90" width="17.25" bestFit="1" customWidth="1"/>
    <col min="91" max="91" width="17.875" bestFit="1" customWidth="1"/>
    <col min="92" max="92" width="12.125" bestFit="1" customWidth="1"/>
    <col min="93" max="93" width="19.625" bestFit="1" customWidth="1"/>
    <col min="94" max="94" width="17.125" bestFit="1" customWidth="1"/>
    <col min="95" max="95" width="16" bestFit="1" customWidth="1"/>
    <col min="96" max="96" width="12.625" bestFit="1" customWidth="1"/>
    <col min="97" max="97" width="8.75" bestFit="1" customWidth="1"/>
    <col min="98" max="98" width="11.25" bestFit="1" customWidth="1"/>
  </cols>
  <sheetData>
    <row r="1" spans="1:53">
      <c r="A1" t="s">
        <v>62</v>
      </c>
      <c r="B1" t="s">
        <v>42</v>
      </c>
      <c r="C1" t="s">
        <v>59</v>
      </c>
      <c r="D1" t="s">
        <v>74</v>
      </c>
      <c r="E1" t="s">
        <v>75</v>
      </c>
      <c r="F1" t="s">
        <v>76</v>
      </c>
      <c r="G1" t="s">
        <v>77</v>
      </c>
      <c r="H1" t="s">
        <v>58</v>
      </c>
      <c r="I1" t="s">
        <v>78</v>
      </c>
      <c r="J1" t="s">
        <v>63</v>
      </c>
      <c r="K1" t="s">
        <v>73</v>
      </c>
      <c r="L1" t="s">
        <v>43</v>
      </c>
      <c r="M1" t="s">
        <v>44</v>
      </c>
      <c r="N1" t="s">
        <v>79</v>
      </c>
      <c r="O1" t="s">
        <v>24</v>
      </c>
      <c r="P1" t="s">
        <v>69</v>
      </c>
      <c r="Q1" t="s">
        <v>45</v>
      </c>
      <c r="R1" t="s">
        <v>80</v>
      </c>
      <c r="S1" t="s">
        <v>46</v>
      </c>
      <c r="T1" t="s">
        <v>64</v>
      </c>
      <c r="U1" t="s">
        <v>81</v>
      </c>
      <c r="V1" t="s">
        <v>82</v>
      </c>
      <c r="W1" t="s">
        <v>83</v>
      </c>
      <c r="X1" t="s">
        <v>65</v>
      </c>
      <c r="Y1" t="s">
        <v>66</v>
      </c>
      <c r="Z1" t="s">
        <v>84</v>
      </c>
      <c r="AA1" t="s">
        <v>85</v>
      </c>
      <c r="AB1" t="s">
        <v>67</v>
      </c>
      <c r="AC1" t="s">
        <v>47</v>
      </c>
      <c r="AD1" t="s">
        <v>48</v>
      </c>
      <c r="AE1" t="s">
        <v>86</v>
      </c>
      <c r="AF1" t="s">
        <v>49</v>
      </c>
      <c r="AG1" t="s">
        <v>87</v>
      </c>
      <c r="AH1" t="s">
        <v>50</v>
      </c>
      <c r="AI1" t="s">
        <v>88</v>
      </c>
      <c r="AJ1" t="s">
        <v>89</v>
      </c>
      <c r="AK1" t="s">
        <v>51</v>
      </c>
      <c r="AL1" t="s">
        <v>68</v>
      </c>
      <c r="AM1" t="s">
        <v>90</v>
      </c>
      <c r="AN1" t="s">
        <v>91</v>
      </c>
      <c r="AO1" t="s">
        <v>92</v>
      </c>
      <c r="AP1" t="s">
        <v>52</v>
      </c>
      <c r="AQ1" t="s">
        <v>53</v>
      </c>
      <c r="AR1" t="s">
        <v>93</v>
      </c>
      <c r="AS1" t="s">
        <v>54</v>
      </c>
      <c r="AT1" t="s">
        <v>94</v>
      </c>
      <c r="AU1" t="s">
        <v>55</v>
      </c>
      <c r="AV1" t="s">
        <v>95</v>
      </c>
      <c r="AW1" t="s">
        <v>70</v>
      </c>
      <c r="AX1" t="s">
        <v>96</v>
      </c>
      <c r="AY1" t="s">
        <v>71</v>
      </c>
      <c r="AZ1" t="s">
        <v>72</v>
      </c>
      <c r="BA1" t="s">
        <v>97</v>
      </c>
    </row>
    <row r="2" spans="1:53">
      <c r="A2" s="4"/>
      <c r="B2" s="4"/>
      <c r="C2" s="4"/>
      <c r="H2" s="4"/>
      <c r="J2" s="4"/>
      <c r="K2" s="4"/>
      <c r="L2" s="4"/>
      <c r="M2" s="4"/>
      <c r="O2" s="4"/>
      <c r="P2" s="4"/>
      <c r="Q2" s="4"/>
      <c r="S2" s="4"/>
      <c r="T2" s="4"/>
      <c r="X2" s="4"/>
      <c r="Y2" s="4"/>
      <c r="AB2" s="4"/>
      <c r="AC2" s="4"/>
      <c r="AD2" s="4"/>
      <c r="AF2" s="4"/>
      <c r="AH2" s="4"/>
      <c r="AK2" s="4"/>
      <c r="AL2" s="4"/>
      <c r="AP2" s="4"/>
      <c r="AQ2" s="4"/>
      <c r="AS2" s="4"/>
      <c r="AU2" s="4"/>
      <c r="AW2" s="4"/>
      <c r="AY2" s="4"/>
      <c r="AZ2" s="4"/>
    </row>
  </sheetData>
  <phoneticPr fontId="2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F26"/>
  <sheetViews>
    <sheetView zoomScale="60" zoomScaleNormal="60" workbookViewId="0">
      <selection activeCell="U28" sqref="U28"/>
    </sheetView>
  </sheetViews>
  <sheetFormatPr defaultColWidth="9" defaultRowHeight="14.25"/>
  <sheetData>
    <row r="3" spans="3:6" ht="22.5">
      <c r="C3" s="1" t="s">
        <v>56</v>
      </c>
      <c r="D3" s="1"/>
      <c r="E3" s="2"/>
      <c r="F3" s="2"/>
    </row>
    <row r="26" spans="2:4" ht="22.5">
      <c r="B26" s="1"/>
      <c r="C26" s="1" t="s">
        <v>57</v>
      </c>
      <c r="D26" s="1"/>
    </row>
  </sheetData>
  <pageMargins left="0.75" right="0.75" top="1" bottom="1" header="0.5" footer="0.5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2EECBF-34E0-479F-9D57-E6B179200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หน้าสูตร干线到车 รถถึงสายรอง  KKN</vt:lpstr>
      <vt:lpstr>DATA รถถึงเส้นรอง KKN</vt:lpstr>
      <vt:lpstr>วิธีการดึง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JnTExpress</dc:creator>
  <cp:lastModifiedBy>Administrator</cp:lastModifiedBy>
  <dcterms:created xsi:type="dcterms:W3CDTF">2022-11-05T18:45:00Z</dcterms:created>
  <dcterms:modified xsi:type="dcterms:W3CDTF">2026-06-26T16:26:12Z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884B8CA319C44F56A37DCBEA8DC9306A_13</vt:lpwstr>
  </property>
  <property fmtid="{D5CDD505-2E9C-101B-9397-08002B2CF9AE}" pid="3" name="KSOProductBuildVer">
    <vt:lpwstr>1033-12.1.0.25862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